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rahee\Desktop\GitHub동기화폴더\2026-QI\documents_new\"/>
    </mc:Choice>
  </mc:AlternateContent>
  <xr:revisionPtr revIDLastSave="0" documentId="13_ncr:1_{D297B0ED-4CF3-4C53-84B7-3A0294364E23}" xr6:coauthVersionLast="36" xr6:coauthVersionMax="47" xr10:uidLastSave="{00000000-0000-0000-0000-000000000000}"/>
  <bookViews>
    <workbookView xWindow="0" yWindow="0" windowWidth="31110" windowHeight="13335" xr2:uid="{00000000-000D-0000-FFFF-FFFF00000000}"/>
  </bookViews>
  <sheets>
    <sheet name="병동간호사" sheetId="5" r:id="rId1"/>
    <sheet name="코드목록" sheetId="3" state="hidden" r:id="rId2"/>
  </sheets>
  <calcPr calcId="191029"/>
</workbook>
</file>

<file path=xl/calcChain.xml><?xml version="1.0" encoding="utf-8"?>
<calcChain xmlns="http://schemas.openxmlformats.org/spreadsheetml/2006/main">
  <c r="C15" i="5" l="1"/>
  <c r="C5" i="5" l="1"/>
  <c r="C18" i="5" l="1"/>
  <c r="C11" i="5"/>
</calcChain>
</file>

<file path=xl/sharedStrings.xml><?xml version="1.0" encoding="utf-8"?>
<sst xmlns="http://schemas.openxmlformats.org/spreadsheetml/2006/main" count="107" uniqueCount="104">
  <si>
    <t>긴급도</t>
  </si>
  <si>
    <t>주의</t>
  </si>
  <si>
    <t>수술중</t>
  </si>
  <si>
    <t>시술중</t>
  </si>
  <si>
    <t>회진</t>
  </si>
  <si>
    <t>인계</t>
  </si>
  <si>
    <t>응급상황</t>
  </si>
  <si>
    <t>담당부재</t>
  </si>
  <si>
    <t>정보부족</t>
  </si>
  <si>
    <t>인력부족</t>
  </si>
  <si>
    <t>기타</t>
  </si>
  <si>
    <t>근무종료</t>
  </si>
  <si>
    <t>업무종료</t>
  </si>
  <si>
    <t>익일인계</t>
  </si>
  <si>
    <t>야간전환</t>
  </si>
  <si>
    <t>병실</t>
    <phoneticPr fontId="2" type="noConversion"/>
  </si>
  <si>
    <t>CaseID</t>
    <phoneticPr fontId="2" type="noConversion"/>
  </si>
  <si>
    <t>입원</t>
    <phoneticPr fontId="2" type="noConversion"/>
  </si>
  <si>
    <t>검사</t>
    <phoneticPr fontId="2" type="noConversion"/>
  </si>
  <si>
    <t>자가약</t>
  </si>
  <si>
    <t>정보성:"지금"목록</t>
    <phoneticPr fontId="2" type="noConversion"/>
  </si>
  <si>
    <t>항암 특화</t>
  </si>
  <si>
    <t>수혈 및 혈액</t>
  </si>
  <si>
    <t>존엄 및 임종 (LST/DNR)</t>
  </si>
  <si>
    <t>보호자 면담</t>
  </si>
  <si>
    <t>골수 검사</t>
  </si>
  <si>
    <t>격리 및 역격리</t>
  </si>
  <si>
    <t>엑셀/웹 문서에는 실제 환자정보 입력 금지. (예시/자리표시자만)</t>
    <phoneticPr fontId="2" type="noConversion"/>
  </si>
  <si>
    <t>위험 수치 및 Lab (Critical Value Report)</t>
  </si>
  <si>
    <t>상태 변화 (Condition Status)</t>
  </si>
  <si>
    <t>통증 조절 (Pain Management)</t>
  </si>
  <si>
    <t>퇴원·전과·사망 관리 (Discharge/Death)</t>
  </si>
  <si>
    <t>IN-OUT(인계)</t>
    <phoneticPr fontId="2" type="noConversion"/>
  </si>
  <si>
    <t>사유코드(권장)-PA</t>
    <phoneticPr fontId="2" type="noConversion"/>
  </si>
  <si>
    <t>사유코드(권장)-병동</t>
    <phoneticPr fontId="2" type="noConversion"/>
  </si>
  <si>
    <t>조치</t>
    <phoneticPr fontId="2" type="noConversion"/>
  </si>
  <si>
    <t>[D]현재상태</t>
    <phoneticPr fontId="2" type="noConversion"/>
  </si>
  <si>
    <t>근무</t>
    <phoneticPr fontId="2" type="noConversion"/>
  </si>
  <si>
    <t>데이</t>
    <phoneticPr fontId="2" type="noConversion"/>
  </si>
  <si>
    <t>이브닝</t>
    <phoneticPr fontId="2" type="noConversion"/>
  </si>
  <si>
    <t>나이트</t>
    <phoneticPr fontId="2" type="noConversion"/>
  </si>
  <si>
    <t>팀</t>
    <phoneticPr fontId="2" type="noConversion"/>
  </si>
  <si>
    <t>A</t>
    <phoneticPr fontId="2" type="noConversion"/>
  </si>
  <si>
    <t>B</t>
    <phoneticPr fontId="2" type="noConversion"/>
  </si>
  <si>
    <t>C</t>
    <phoneticPr fontId="2" type="noConversion"/>
  </si>
  <si>
    <t>D</t>
    <phoneticPr fontId="2" type="noConversion"/>
  </si>
  <si>
    <t>E</t>
    <phoneticPr fontId="2" type="noConversion"/>
  </si>
  <si>
    <t>141-MH</t>
    <phoneticPr fontId="2" type="noConversion"/>
  </si>
  <si>
    <t>142-MH</t>
    <phoneticPr fontId="2" type="noConversion"/>
  </si>
  <si>
    <t>131-ENT</t>
    <phoneticPr fontId="2" type="noConversion"/>
  </si>
  <si>
    <t>131-URO</t>
    <phoneticPr fontId="2" type="noConversion"/>
  </si>
  <si>
    <t>92-MC</t>
    <phoneticPr fontId="2" type="noConversion"/>
  </si>
  <si>
    <t>92-CS</t>
    <phoneticPr fontId="2" type="noConversion"/>
  </si>
  <si>
    <t>PA 소속과</t>
    <phoneticPr fontId="2" type="noConversion"/>
  </si>
  <si>
    <t>병동소속</t>
    <phoneticPr fontId="2" type="noConversion"/>
  </si>
  <si>
    <t>PA만 입력 가능</t>
    <phoneticPr fontId="2" type="noConversion"/>
  </si>
  <si>
    <t>병동공통태그</t>
    <phoneticPr fontId="2" type="noConversion"/>
  </si>
  <si>
    <t>14층 태그</t>
    <phoneticPr fontId="2" type="noConversion"/>
  </si>
  <si>
    <t>응급</t>
  </si>
  <si>
    <t>상태변화</t>
  </si>
  <si>
    <t>수술전/후</t>
  </si>
  <si>
    <t>검사전/후</t>
  </si>
  <si>
    <t>동의서</t>
  </si>
  <si>
    <t>협진</t>
  </si>
  <si>
    <t>수혈</t>
  </si>
  <si>
    <t>회진후</t>
  </si>
  <si>
    <t>입원</t>
  </si>
  <si>
    <t>EMR확인</t>
  </si>
  <si>
    <t>CHEMO</t>
  </si>
  <si>
    <t>BLOOD</t>
  </si>
  <si>
    <t>CVR</t>
  </si>
  <si>
    <t>LIFE</t>
  </si>
  <si>
    <t>MEET</t>
  </si>
  <si>
    <t>MARROW</t>
  </si>
  <si>
    <t>ISO</t>
  </si>
  <si>
    <t>C-Status</t>
  </si>
  <si>
    <t>PAIN</t>
  </si>
  <si>
    <t>OUT</t>
  </si>
  <si>
    <t>인계</t>
    <phoneticPr fontId="2" type="noConversion"/>
  </si>
  <si>
    <t>야간 상황</t>
    <phoneticPr fontId="2" type="noConversion"/>
  </si>
  <si>
    <t>통증</t>
    <phoneticPr fontId="2" type="noConversion"/>
  </si>
  <si>
    <t xml:space="preserve">전과 </t>
    <phoneticPr fontId="2" type="noConversion"/>
  </si>
  <si>
    <t>퇴원</t>
    <phoneticPr fontId="2" type="noConversion"/>
  </si>
  <si>
    <t>전원</t>
    <phoneticPr fontId="2" type="noConversion"/>
  </si>
  <si>
    <t>면담</t>
    <phoneticPr fontId="2" type="noConversion"/>
  </si>
  <si>
    <t>처방</t>
    <phoneticPr fontId="2" type="noConversion"/>
  </si>
  <si>
    <t>Lab</t>
    <phoneticPr fontId="2" type="noConversion"/>
  </si>
  <si>
    <t>환자 등록번호</t>
    <phoneticPr fontId="2" type="noConversion"/>
  </si>
  <si>
    <t>이00</t>
    <phoneticPr fontId="2" type="noConversion"/>
  </si>
  <si>
    <t>요청사항</t>
    <phoneticPr fontId="2" type="noConversion"/>
  </si>
  <si>
    <t>야간이음기록</t>
    <phoneticPr fontId="2" type="noConversion"/>
  </si>
  <si>
    <t>긴급도(10/4/12)</t>
    <phoneticPr fontId="2" type="noConversion"/>
  </si>
  <si>
    <t>교수이름(약자로 입력)</t>
    <phoneticPr fontId="2" type="noConversion"/>
  </si>
  <si>
    <t>L</t>
    <phoneticPr fontId="2" type="noConversion"/>
  </si>
  <si>
    <t>환자이름(홍길동)</t>
    <phoneticPr fontId="2" type="noConversion"/>
  </si>
  <si>
    <t>WeValue 현장ACD 메신저 템플릿 ( v1.260417 )</t>
    <phoneticPr fontId="2" type="noConversion"/>
  </si>
  <si>
    <t>[A]</t>
    <phoneticPr fontId="2" type="noConversion"/>
  </si>
  <si>
    <t>[C]</t>
    <phoneticPr fontId="2" type="noConversion"/>
  </si>
  <si>
    <t>사유</t>
    <phoneticPr fontId="2" type="noConversion"/>
  </si>
  <si>
    <t>사용 팁 : 양식의 흰색 입력셀에 정보를 입력하면 메신저 입력 양식이 노란 배경색의 셀에 자동으로 생성됩니다.</t>
    <phoneticPr fontId="2" type="noConversion"/>
  </si>
  <si>
    <t>밤에 낙상함</t>
    <phoneticPr fontId="2" type="noConversion"/>
  </si>
  <si>
    <t>환자 제위치</t>
    <phoneticPr fontId="2" type="noConversion"/>
  </si>
  <si>
    <t>양호</t>
    <phoneticPr fontId="2" type="noConversion"/>
  </si>
  <si>
    <t xml:space="preserve">응급실에서 입실하셨습니다.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</si>
</sst>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dd\ hh:mm:ss"/>
  </numFmts>
  <fonts count="9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24"/>
      <name val="맑은 고딕"/>
      <family val="3"/>
      <charset val="129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b/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1"/>
      <color rgb="FFFF0000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left" wrapText="1"/>
    </xf>
    <xf numFmtId="0" fontId="0" fillId="4" borderId="1" xfId="0" applyFill="1" applyBorder="1" applyAlignment="1">
      <alignment horizontal="left"/>
    </xf>
    <xf numFmtId="0" fontId="0" fillId="6" borderId="0" xfId="0" applyFill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vertical="center" wrapText="1"/>
    </xf>
    <xf numFmtId="0" fontId="0" fillId="6" borderId="0" xfId="0" applyFill="1" applyAlignment="1">
      <alignment horizontal="center" vertical="center"/>
    </xf>
    <xf numFmtId="0" fontId="7" fillId="4" borderId="10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0" fontId="7" fillId="4" borderId="6" xfId="0" applyFont="1" applyFill="1" applyBorder="1" applyAlignment="1">
      <alignment horizontal="left" vertical="center" wrapText="1"/>
    </xf>
    <xf numFmtId="0" fontId="7" fillId="4" borderId="10" xfId="0" applyFont="1" applyFill="1" applyBorder="1" applyAlignment="1">
      <alignment horizontal="left" vertical="center" wrapText="1"/>
    </xf>
    <xf numFmtId="0" fontId="5" fillId="4" borderId="9" xfId="0" applyFont="1" applyFill="1" applyBorder="1" applyAlignment="1">
      <alignment horizontal="left" vertical="center"/>
    </xf>
    <xf numFmtId="0" fontId="5" fillId="4" borderId="6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left" vertical="center" wrapText="1"/>
    </xf>
    <xf numFmtId="176" fontId="3" fillId="5" borderId="3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/>
    </xf>
  </cellXfs>
  <cellStyles count="1">
    <cellStyle name="표준" xfId="0" builtinId="0"/>
  </cellStyles>
  <dxfs count="3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990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9900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EA284-0C38-4867-B2EA-5E67B4DD5AFE}">
  <sheetPr>
    <pageSetUpPr fitToPage="1"/>
  </sheetPr>
  <dimension ref="A1:C20"/>
  <sheetViews>
    <sheetView showGridLines="0" tabSelected="1" zoomScaleNormal="100" workbookViewId="0">
      <selection activeCell="B27" sqref="B27"/>
    </sheetView>
  </sheetViews>
  <sheetFormatPr defaultRowHeight="16.5" x14ac:dyDescent="0.3"/>
  <cols>
    <col min="1" max="1" width="18.875" style="17" bestFit="1" customWidth="1"/>
    <col min="2" max="2" width="37.375" style="10" customWidth="1"/>
    <col min="3" max="3" width="76" style="10" bestFit="1" customWidth="1"/>
    <col min="4" max="16384" width="9" style="10"/>
  </cols>
  <sheetData>
    <row r="1" spans="1:3" ht="38.25" x14ac:dyDescent="0.3">
      <c r="A1" s="29" t="s">
        <v>95</v>
      </c>
      <c r="B1" s="29"/>
      <c r="C1" s="29"/>
    </row>
    <row r="2" spans="1:3" ht="39" customHeight="1" x14ac:dyDescent="0.3">
      <c r="A2" s="28" t="s">
        <v>99</v>
      </c>
      <c r="B2" s="28"/>
      <c r="C2" s="28"/>
    </row>
    <row r="4" spans="1:3" x14ac:dyDescent="0.3">
      <c r="A4" s="25" t="s">
        <v>16</v>
      </c>
      <c r="B4" s="26"/>
      <c r="C4" s="27"/>
    </row>
    <row r="5" spans="1:3" x14ac:dyDescent="0.3">
      <c r="A5" s="12" t="s">
        <v>15</v>
      </c>
      <c r="B5" s="11">
        <v>1411</v>
      </c>
      <c r="C5" s="23" t="str">
        <f ca="1">"["&amp;B5&amp;"]-["&amp;B6&amp;"]-["&amp;B7&amp;"]-["&amp;B8&amp;"]-["&amp;TEXT(TEXT(NOW(), "mmdd"),"0000")&amp;"]-["&amp;TEXT(TEXT(NOW(), "hhmm"),"0000")&amp;"]"</f>
        <v>[1411]-[L]-[254658]-[이00]-[0417]-[0147]</v>
      </c>
    </row>
    <row r="6" spans="1:3" x14ac:dyDescent="0.3">
      <c r="A6" s="12" t="s">
        <v>92</v>
      </c>
      <c r="B6" s="11" t="s">
        <v>93</v>
      </c>
      <c r="C6" s="24"/>
    </row>
    <row r="7" spans="1:3" x14ac:dyDescent="0.3">
      <c r="A7" s="12" t="s">
        <v>87</v>
      </c>
      <c r="B7" s="11">
        <v>254658</v>
      </c>
      <c r="C7" s="24"/>
    </row>
    <row r="8" spans="1:3" x14ac:dyDescent="0.3">
      <c r="A8" s="12" t="s">
        <v>94</v>
      </c>
      <c r="B8" s="11" t="s">
        <v>88</v>
      </c>
      <c r="C8" s="24"/>
    </row>
    <row r="10" spans="1:3" x14ac:dyDescent="0.3">
      <c r="A10" s="25" t="s">
        <v>96</v>
      </c>
      <c r="B10" s="26"/>
      <c r="C10" s="27"/>
    </row>
    <row r="11" spans="1:3" ht="18.75" customHeight="1" x14ac:dyDescent="0.3">
      <c r="A11" s="12" t="s">
        <v>91</v>
      </c>
      <c r="B11" s="13">
        <v>12</v>
      </c>
      <c r="C11" s="20" t="str">
        <f ca="1">"[A]
* 긴급도:"&amp;IF(B11=10,"🔴",IF(B11=4,"🟠",IF(B11=12,"🟢","")))&amp;"["&amp;B11&amp;"]"&amp;IF($C$5="","", "
* CaseID:"&amp;$C$5&amp;"
* 요청사항 : 
"&amp;B12)</f>
        <v xml:space="preserve">[A]
* 긴급도:🟢[12]
* CaseID:[1411]-[L]-[254658]-[이00]-[0417]-[0147]
* 요청사항 : 
응급실에서 입실하셨습니다. </v>
      </c>
    </row>
    <row r="12" spans="1:3" ht="114" customHeight="1" x14ac:dyDescent="0.3">
      <c r="A12" s="15" t="s">
        <v>89</v>
      </c>
      <c r="B12" s="19" t="s">
        <v>103</v>
      </c>
      <c r="C12" s="22"/>
    </row>
    <row r="14" spans="1:3" x14ac:dyDescent="0.3">
      <c r="A14" s="25" t="s">
        <v>97</v>
      </c>
      <c r="B14" s="26"/>
      <c r="C14" s="27"/>
    </row>
    <row r="15" spans="1:3" x14ac:dyDescent="0.3">
      <c r="A15" s="15" t="s">
        <v>98</v>
      </c>
      <c r="B15" s="16"/>
      <c r="C15" s="18" t="str">
        <f>"[C]"&amp;B15</f>
        <v>[C]</v>
      </c>
    </row>
    <row r="17" spans="1:3" x14ac:dyDescent="0.3">
      <c r="A17" s="25" t="s">
        <v>90</v>
      </c>
      <c r="B17" s="26"/>
      <c r="C17" s="27"/>
    </row>
    <row r="18" spans="1:3" ht="30.75" customHeight="1" x14ac:dyDescent="0.3">
      <c r="A18" s="14" t="s">
        <v>79</v>
      </c>
      <c r="B18" s="16" t="s">
        <v>100</v>
      </c>
      <c r="C18" s="20" t="str">
        <f ca="1">IF($C$5="","", "[A][야간이음기록]
* CaseID : "&amp;$C$5&amp;"
* 상황:"&amp;B18&amp;"
* 조치:"&amp;B19&amp;"
* [D]"&amp;B20)</f>
        <v>[A][야간이음기록]
* CaseID : [1411]-[L]-[254658]-[이00]-[0417]-[0147]
* 상황:밤에 낙상함
* 조치:환자 제위치
* [D]양호</v>
      </c>
    </row>
    <row r="19" spans="1:3" ht="30.75" customHeight="1" x14ac:dyDescent="0.3">
      <c r="A19" s="12" t="s">
        <v>35</v>
      </c>
      <c r="B19" s="16" t="s">
        <v>101</v>
      </c>
      <c r="C19" s="21"/>
    </row>
    <row r="20" spans="1:3" ht="30.75" customHeight="1" x14ac:dyDescent="0.3">
      <c r="A20" s="12" t="s">
        <v>36</v>
      </c>
      <c r="B20" s="16" t="s">
        <v>102</v>
      </c>
      <c r="C20" s="21"/>
    </row>
  </sheetData>
  <mergeCells count="9">
    <mergeCell ref="A2:C2"/>
    <mergeCell ref="A4:C4"/>
    <mergeCell ref="A1:C1"/>
    <mergeCell ref="C18:C20"/>
    <mergeCell ref="C11:C12"/>
    <mergeCell ref="C5:C8"/>
    <mergeCell ref="A10:C10"/>
    <mergeCell ref="A17:C17"/>
    <mergeCell ref="A14:C14"/>
  </mergeCells>
  <phoneticPr fontId="2" type="noConversion"/>
  <conditionalFormatting sqref="B11:B12">
    <cfRule type="expression" dxfId="2" priority="4">
      <formula>B11=12</formula>
    </cfRule>
    <cfRule type="expression" dxfId="1" priority="5">
      <formula>B11=4</formula>
    </cfRule>
    <cfRule type="expression" dxfId="0" priority="6">
      <formula>B11=10</formula>
    </cfRule>
  </conditionalFormatting>
  <pageMargins left="0.75" right="0.75" top="1" bottom="1" header="0.5" footer="0.5"/>
  <pageSetup paperSize="9" scale="53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3C4C854-9588-4629-BEC8-3439CB301324}">
          <x14:formula1>
            <xm:f>코드목록!$A$2:$A$4</xm:f>
          </x14:formula1>
          <xm:sqref>B11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M41"/>
  <sheetViews>
    <sheetView showGridLines="0" workbookViewId="0">
      <selection activeCell="F24" sqref="F24"/>
    </sheetView>
  </sheetViews>
  <sheetFormatPr defaultRowHeight="16.5" x14ac:dyDescent="0.3"/>
  <cols>
    <col min="1" max="1" width="12" style="2" customWidth="1"/>
    <col min="2" max="2" width="18" style="2" customWidth="1"/>
    <col min="3" max="3" width="2" style="2" customWidth="1"/>
    <col min="4" max="4" width="19" style="2" customWidth="1"/>
    <col min="5" max="5" width="2" style="2" customWidth="1"/>
    <col min="6" max="9" width="9" style="2"/>
    <col min="10" max="10" width="17.25" style="2" bestFit="1" customWidth="1"/>
    <col min="11" max="11" width="17.25" style="2" customWidth="1"/>
    <col min="12" max="12" width="13" style="2" bestFit="1" customWidth="1"/>
    <col min="13" max="13" width="38" style="2" bestFit="1" customWidth="1"/>
    <col min="14" max="16384" width="9" style="2"/>
  </cols>
  <sheetData>
    <row r="1" spans="1:13" x14ac:dyDescent="0.3">
      <c r="A1" s="1" t="s">
        <v>0</v>
      </c>
      <c r="B1" s="1" t="s">
        <v>33</v>
      </c>
      <c r="D1" s="1" t="s">
        <v>34</v>
      </c>
      <c r="F1" s="1" t="s">
        <v>1</v>
      </c>
      <c r="G1" s="3"/>
      <c r="H1" s="3"/>
      <c r="J1" s="3" t="s">
        <v>20</v>
      </c>
      <c r="L1" s="2" t="s">
        <v>57</v>
      </c>
    </row>
    <row r="2" spans="1:13" x14ac:dyDescent="0.3">
      <c r="A2" s="3">
        <v>10</v>
      </c>
      <c r="B2" s="3" t="s">
        <v>2</v>
      </c>
      <c r="D2" s="3" t="s">
        <v>78</v>
      </c>
      <c r="F2" s="30" t="s">
        <v>27</v>
      </c>
      <c r="G2" s="31"/>
      <c r="H2" s="31"/>
      <c r="J2" s="4" t="s">
        <v>17</v>
      </c>
      <c r="K2" s="5"/>
      <c r="L2" s="3" t="s">
        <v>68</v>
      </c>
      <c r="M2" s="3" t="s">
        <v>21</v>
      </c>
    </row>
    <row r="3" spans="1:13" x14ac:dyDescent="0.3">
      <c r="A3" s="3">
        <v>4</v>
      </c>
      <c r="B3" s="3" t="s">
        <v>3</v>
      </c>
      <c r="F3" s="31"/>
      <c r="G3" s="31"/>
      <c r="H3" s="31"/>
      <c r="J3" s="4" t="s">
        <v>18</v>
      </c>
      <c r="K3" s="5"/>
      <c r="L3" s="3" t="s">
        <v>69</v>
      </c>
      <c r="M3" s="3" t="s">
        <v>22</v>
      </c>
    </row>
    <row r="4" spans="1:13" x14ac:dyDescent="0.3">
      <c r="A4" s="3">
        <v>12</v>
      </c>
      <c r="B4" s="3" t="s">
        <v>4</v>
      </c>
      <c r="F4" s="31"/>
      <c r="G4" s="31"/>
      <c r="H4" s="31"/>
      <c r="J4" s="4" t="s">
        <v>19</v>
      </c>
      <c r="K4" s="5"/>
      <c r="L4" s="3" t="s">
        <v>70</v>
      </c>
      <c r="M4" s="3" t="s">
        <v>28</v>
      </c>
    </row>
    <row r="5" spans="1:13" x14ac:dyDescent="0.3">
      <c r="B5" s="3" t="s">
        <v>5</v>
      </c>
      <c r="L5" s="3" t="s">
        <v>71</v>
      </c>
      <c r="M5" s="3" t="s">
        <v>23</v>
      </c>
    </row>
    <row r="6" spans="1:13" x14ac:dyDescent="0.3">
      <c r="B6" s="3" t="s">
        <v>6</v>
      </c>
      <c r="L6" s="3" t="s">
        <v>72</v>
      </c>
      <c r="M6" s="3" t="s">
        <v>24</v>
      </c>
    </row>
    <row r="7" spans="1:13" x14ac:dyDescent="0.3">
      <c r="B7" s="3" t="s">
        <v>7</v>
      </c>
      <c r="L7" s="3" t="s">
        <v>73</v>
      </c>
      <c r="M7" s="3" t="s">
        <v>25</v>
      </c>
    </row>
    <row r="8" spans="1:13" x14ac:dyDescent="0.3">
      <c r="B8" s="3" t="s">
        <v>8</v>
      </c>
      <c r="L8" s="3" t="s">
        <v>74</v>
      </c>
      <c r="M8" s="3" t="s">
        <v>26</v>
      </c>
    </row>
    <row r="9" spans="1:13" x14ac:dyDescent="0.3">
      <c r="B9" s="3" t="s">
        <v>9</v>
      </c>
      <c r="L9" s="3" t="s">
        <v>75</v>
      </c>
      <c r="M9" s="3" t="s">
        <v>29</v>
      </c>
    </row>
    <row r="10" spans="1:13" x14ac:dyDescent="0.3">
      <c r="B10" s="3" t="s">
        <v>10</v>
      </c>
      <c r="L10" s="3" t="s">
        <v>76</v>
      </c>
      <c r="M10" s="3" t="s">
        <v>30</v>
      </c>
    </row>
    <row r="11" spans="1:13" x14ac:dyDescent="0.3">
      <c r="B11" s="3" t="s">
        <v>11</v>
      </c>
      <c r="L11" s="3" t="s">
        <v>77</v>
      </c>
      <c r="M11" s="3" t="s">
        <v>31</v>
      </c>
    </row>
    <row r="12" spans="1:13" x14ac:dyDescent="0.3">
      <c r="B12" s="3" t="s">
        <v>12</v>
      </c>
    </row>
    <row r="13" spans="1:13" x14ac:dyDescent="0.3">
      <c r="B13" s="3" t="s">
        <v>13</v>
      </c>
    </row>
    <row r="14" spans="1:13" x14ac:dyDescent="0.3">
      <c r="B14" s="3" t="s">
        <v>14</v>
      </c>
    </row>
    <row r="15" spans="1:13" x14ac:dyDescent="0.3">
      <c r="B15" s="3" t="s">
        <v>32</v>
      </c>
      <c r="L15" s="2" t="s">
        <v>56</v>
      </c>
    </row>
    <row r="16" spans="1:13" x14ac:dyDescent="0.3">
      <c r="L16" s="9" t="s">
        <v>58</v>
      </c>
    </row>
    <row r="17" spans="11:12" x14ac:dyDescent="0.3">
      <c r="L17" s="9" t="s">
        <v>59</v>
      </c>
    </row>
    <row r="18" spans="11:12" x14ac:dyDescent="0.3">
      <c r="L18" s="9" t="s">
        <v>82</v>
      </c>
    </row>
    <row r="19" spans="11:12" x14ac:dyDescent="0.3">
      <c r="L19" s="9" t="s">
        <v>60</v>
      </c>
    </row>
    <row r="20" spans="11:12" x14ac:dyDescent="0.3">
      <c r="L20" s="9" t="s">
        <v>61</v>
      </c>
    </row>
    <row r="21" spans="11:12" x14ac:dyDescent="0.3">
      <c r="L21" s="9" t="s">
        <v>62</v>
      </c>
    </row>
    <row r="22" spans="11:12" x14ac:dyDescent="0.3">
      <c r="L22" s="9" t="s">
        <v>63</v>
      </c>
    </row>
    <row r="23" spans="11:12" x14ac:dyDescent="0.3">
      <c r="L23" s="9" t="s">
        <v>64</v>
      </c>
    </row>
    <row r="24" spans="11:12" x14ac:dyDescent="0.3">
      <c r="K24" s="2" t="s">
        <v>55</v>
      </c>
      <c r="L24" s="9" t="s">
        <v>65</v>
      </c>
    </row>
    <row r="25" spans="11:12" x14ac:dyDescent="0.3">
      <c r="L25" s="9" t="s">
        <v>10</v>
      </c>
    </row>
    <row r="26" spans="11:12" x14ac:dyDescent="0.3">
      <c r="L26" s="9" t="s">
        <v>66</v>
      </c>
    </row>
    <row r="27" spans="11:12" x14ac:dyDescent="0.3">
      <c r="L27" s="9" t="s">
        <v>19</v>
      </c>
    </row>
    <row r="28" spans="11:12" x14ac:dyDescent="0.3">
      <c r="K28" s="2" t="s">
        <v>55</v>
      </c>
      <c r="L28" s="9" t="s">
        <v>67</v>
      </c>
    </row>
    <row r="29" spans="11:12" x14ac:dyDescent="0.3">
      <c r="L29" s="9" t="s">
        <v>80</v>
      </c>
    </row>
    <row r="30" spans="11:12" x14ac:dyDescent="0.3">
      <c r="L30" s="9" t="s">
        <v>81</v>
      </c>
    </row>
    <row r="31" spans="11:12" x14ac:dyDescent="0.3">
      <c r="L31" s="9" t="s">
        <v>83</v>
      </c>
    </row>
    <row r="32" spans="11:12" x14ac:dyDescent="0.3">
      <c r="L32" s="9" t="s">
        <v>84</v>
      </c>
    </row>
    <row r="33" spans="1:12" x14ac:dyDescent="0.3">
      <c r="L33" s="9" t="s">
        <v>85</v>
      </c>
    </row>
    <row r="34" spans="1:12" x14ac:dyDescent="0.3">
      <c r="L34" s="9" t="s">
        <v>86</v>
      </c>
    </row>
    <row r="36" spans="1:12" x14ac:dyDescent="0.3">
      <c r="A36" s="7" t="s">
        <v>37</v>
      </c>
      <c r="B36" s="6" t="s">
        <v>38</v>
      </c>
      <c r="D36" s="3" t="s">
        <v>41</v>
      </c>
      <c r="E36" s="3" t="s">
        <v>42</v>
      </c>
      <c r="G36" s="3" t="s">
        <v>53</v>
      </c>
      <c r="H36" s="3" t="s">
        <v>52</v>
      </c>
      <c r="J36" s="3" t="s">
        <v>54</v>
      </c>
      <c r="K36" s="3">
        <v>92</v>
      </c>
    </row>
    <row r="37" spans="1:12" x14ac:dyDescent="0.3">
      <c r="B37" s="6" t="s">
        <v>39</v>
      </c>
      <c r="E37" s="3" t="s">
        <v>43</v>
      </c>
      <c r="H37" s="3" t="s">
        <v>51</v>
      </c>
      <c r="K37" s="3">
        <v>131</v>
      </c>
    </row>
    <row r="38" spans="1:12" x14ac:dyDescent="0.3">
      <c r="B38" s="6" t="s">
        <v>40</v>
      </c>
      <c r="E38" s="3" t="s">
        <v>44</v>
      </c>
      <c r="H38" s="8" t="s">
        <v>50</v>
      </c>
      <c r="K38" s="3">
        <v>141</v>
      </c>
    </row>
    <row r="39" spans="1:12" x14ac:dyDescent="0.3">
      <c r="E39" s="3" t="s">
        <v>45</v>
      </c>
      <c r="H39" s="3" t="s">
        <v>49</v>
      </c>
      <c r="K39" s="3">
        <v>142</v>
      </c>
    </row>
    <row r="40" spans="1:12" x14ac:dyDescent="0.3">
      <c r="E40" s="3" t="s">
        <v>46</v>
      </c>
      <c r="H40" s="3" t="s">
        <v>47</v>
      </c>
    </row>
    <row r="41" spans="1:12" x14ac:dyDescent="0.3">
      <c r="H41" s="3" t="s">
        <v>48</v>
      </c>
    </row>
  </sheetData>
  <mergeCells count="1">
    <mergeCell ref="F2:H4"/>
  </mergeCells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병동간호사</vt:lpstr>
      <vt:lpstr>코드목록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rahee</cp:lastModifiedBy>
  <cp:lastPrinted>2026-04-05T00:11:20Z</cp:lastPrinted>
  <dcterms:created xsi:type="dcterms:W3CDTF">2026-02-27T14:01:13Z</dcterms:created>
  <dcterms:modified xsi:type="dcterms:W3CDTF">2026-04-16T16:54:43Z</dcterms:modified>
</cp:coreProperties>
</file>