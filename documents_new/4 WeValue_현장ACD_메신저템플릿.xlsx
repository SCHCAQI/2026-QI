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rahee\Desktop\GitHub동기화폴더\2026-QI\documents_new\"/>
    </mc:Choice>
  </mc:AlternateContent>
  <xr:revisionPtr revIDLastSave="0" documentId="13_ncr:1_{5FABBE1A-4DA3-41A4-A3E4-4398FBE3D4BF}" xr6:coauthVersionLast="36" xr6:coauthVersionMax="47" xr10:uidLastSave="{00000000-0000-0000-0000-000000000000}"/>
  <bookViews>
    <workbookView xWindow="8670" yWindow="1440" windowWidth="28800" windowHeight="15345" xr2:uid="{00000000-000D-0000-FFFF-FFFF00000000}"/>
  </bookViews>
  <sheets>
    <sheet name="병동간호사" sheetId="5" r:id="rId1"/>
    <sheet name="PA" sheetId="2" r:id="rId2"/>
    <sheet name="02_코드목록" sheetId="3" state="hidden" r:id="rId3"/>
  </sheets>
  <calcPr calcId="191029"/>
</workbook>
</file>

<file path=xl/calcChain.xml><?xml version="1.0" encoding="utf-8"?>
<calcChain xmlns="http://schemas.openxmlformats.org/spreadsheetml/2006/main">
  <c r="K7" i="2" l="1"/>
  <c r="L8" i="5" l="1"/>
  <c r="L12" i="5"/>
  <c r="K12" i="2"/>
  <c r="K15" i="2" s="1"/>
  <c r="L15" i="5" l="1"/>
  <c r="L16" i="5"/>
  <c r="L17" i="5"/>
  <c r="K16" i="2"/>
  <c r="K17" i="2"/>
  <c r="L4" i="5"/>
  <c r="K4" i="2"/>
  <c r="L20" i="5" l="1"/>
</calcChain>
</file>

<file path=xl/sharedStrings.xml><?xml version="1.0" encoding="utf-8"?>
<sst xmlns="http://schemas.openxmlformats.org/spreadsheetml/2006/main" count="176" uniqueCount="144">
  <si>
    <t>D(완료)</t>
  </si>
  <si>
    <t>구분</t>
  </si>
  <si>
    <t>긴급도(10/4/12)</t>
  </si>
  <si>
    <t>사유코드</t>
  </si>
  <si>
    <t>긴급도</t>
  </si>
  <si>
    <t>주의</t>
  </si>
  <si>
    <t>수술중</t>
  </si>
  <si>
    <t>시술중</t>
  </si>
  <si>
    <t>회진</t>
  </si>
  <si>
    <t>인계</t>
  </si>
  <si>
    <t>응급상황</t>
  </si>
  <si>
    <t>담당부재</t>
  </si>
  <si>
    <t>정보부족</t>
  </si>
  <si>
    <t>인력부족</t>
  </si>
  <si>
    <t>기타</t>
  </si>
  <si>
    <t>근무종료</t>
  </si>
  <si>
    <t>업무종료</t>
  </si>
  <si>
    <t>익일인계</t>
  </si>
  <si>
    <t>야간전환</t>
  </si>
  <si>
    <t>병실</t>
    <phoneticPr fontId="2" type="noConversion"/>
  </si>
  <si>
    <t>등록번호</t>
    <phoneticPr fontId="2" type="noConversion"/>
  </si>
  <si>
    <t>환자이름</t>
    <phoneticPr fontId="2" type="noConversion"/>
  </si>
  <si>
    <t>교수이름</t>
    <phoneticPr fontId="2" type="noConversion"/>
  </si>
  <si>
    <t>메신저 입력 양식
(복사하여 붙여넣기)</t>
    <phoneticPr fontId="2" type="noConversion"/>
  </si>
  <si>
    <t>CaseID</t>
    <phoneticPr fontId="2" type="noConversion"/>
  </si>
  <si>
    <t>입원</t>
    <phoneticPr fontId="2" type="noConversion"/>
  </si>
  <si>
    <t>검사</t>
    <phoneticPr fontId="2" type="noConversion"/>
  </si>
  <si>
    <t>자가약</t>
  </si>
  <si>
    <t>정보성:"지금"목록</t>
    <phoneticPr fontId="2" type="noConversion"/>
  </si>
  <si>
    <t>사용 팁 : 양식의 흰색 입력셀에 정보를 입력하면 메신저 입력 양식이 노란 배경색의 셀에 자동으로 생성됩니다. ( "메신저 입력 양식" 셀 )</t>
    <phoneticPr fontId="2" type="noConversion"/>
  </si>
  <si>
    <t>항암 특화</t>
  </si>
  <si>
    <t>수혈 및 혈액</t>
  </si>
  <si>
    <t>존엄 및 임종 (LST/DNR)</t>
  </si>
  <si>
    <t>보호자 면담</t>
  </si>
  <si>
    <t>골수 검사</t>
  </si>
  <si>
    <t>격리 및 역격리</t>
  </si>
  <si>
    <t>엑셀/웹 문서에는 실제 환자정보 입력 금지. (예시/자리표시자만)</t>
    <phoneticPr fontId="2" type="noConversion"/>
  </si>
  <si>
    <t>위험 수치 및 Lab (Critical Value Report)</t>
  </si>
  <si>
    <t>상태 변화 (Condition Status)</t>
  </si>
  <si>
    <t>통증 조절 (Pain Management)</t>
  </si>
  <si>
    <t>퇴원·전과·사망 관리 (Discharge/Death)</t>
  </si>
  <si>
    <t>IN-OUT(인계)</t>
    <phoneticPr fontId="2" type="noConversion"/>
  </si>
  <si>
    <t>C(보호기록)-PA</t>
    <phoneticPr fontId="2" type="noConversion"/>
  </si>
  <si>
    <t>C(보호기록)-병동</t>
    <phoneticPr fontId="2" type="noConversion"/>
  </si>
  <si>
    <t>사유코드(권장)-PA</t>
    <phoneticPr fontId="2" type="noConversion"/>
  </si>
  <si>
    <t>사유코드(권장)-병동</t>
    <phoneticPr fontId="2" type="noConversion"/>
  </si>
  <si>
    <t>야간이음기록</t>
    <phoneticPr fontId="2" type="noConversion"/>
  </si>
  <si>
    <t>조치</t>
    <phoneticPr fontId="2" type="noConversion"/>
  </si>
  <si>
    <t>[D]현재상태</t>
    <phoneticPr fontId="2" type="noConversion"/>
  </si>
  <si>
    <t>소속병동</t>
    <phoneticPr fontId="2" type="noConversion"/>
  </si>
  <si>
    <t>근무</t>
    <phoneticPr fontId="2" type="noConversion"/>
  </si>
  <si>
    <t>팀</t>
    <phoneticPr fontId="2" type="noConversion"/>
  </si>
  <si>
    <t>병동간호사</t>
    <phoneticPr fontId="2" type="noConversion"/>
  </si>
  <si>
    <t>PA</t>
    <phoneticPr fontId="2" type="noConversion"/>
  </si>
  <si>
    <t>소속과</t>
    <phoneticPr fontId="2" type="noConversion"/>
  </si>
  <si>
    <t>담당교수님</t>
    <phoneticPr fontId="2" type="noConversion"/>
  </si>
  <si>
    <t>대화방 프로필 설정</t>
    <phoneticPr fontId="2" type="noConversion"/>
  </si>
  <si>
    <t>데이</t>
    <phoneticPr fontId="2" type="noConversion"/>
  </si>
  <si>
    <t>이브닝</t>
    <phoneticPr fontId="2" type="noConversion"/>
  </si>
  <si>
    <t>나이트</t>
    <phoneticPr fontId="2" type="noConversion"/>
  </si>
  <si>
    <t>팀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</si>
  <si>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</si>
  <si>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</si>
  <si>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</si>
  <si>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</si>
  <si>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E</t>
    <phoneticPr fontId="2" type="noConversion"/>
  </si>
  <si>
    <t>141-MH</t>
    <phoneticPr fontId="2" type="noConversion"/>
  </si>
  <si>
    <t>142-MH</t>
    <phoneticPr fontId="2" type="noConversion"/>
  </si>
  <si>
    <t>131-ENT</t>
    <phoneticPr fontId="2" type="noConversion"/>
  </si>
  <si>
    <t>131-URO</t>
    <phoneticPr fontId="2" type="noConversion"/>
  </si>
  <si>
    <t>92-MC</t>
    <phoneticPr fontId="2" type="noConversion"/>
  </si>
  <si>
    <t>92-CS</t>
    <phoneticPr fontId="2" type="noConversion"/>
  </si>
  <si>
    <t>PA 소속과</t>
    <phoneticPr fontId="2" type="noConversion"/>
  </si>
  <si>
    <t>병동소속</t>
    <phoneticPr fontId="2" type="noConversion"/>
  </si>
  <si>
    <t>PA만 입력 가능</t>
    <phoneticPr fontId="2" type="noConversion"/>
  </si>
  <si>
    <t>병동공통태그</t>
    <phoneticPr fontId="2" type="noConversion"/>
  </si>
  <si>
    <t>14층 태그</t>
    <phoneticPr fontId="2" type="noConversion"/>
  </si>
  <si>
    <t>태그</t>
    <phoneticPr fontId="2" type="noConversion"/>
  </si>
  <si>
    <t>A(공통)</t>
    <phoneticPr fontId="2" type="noConversion"/>
  </si>
  <si>
    <t>A(14층전용)</t>
    <phoneticPr fontId="2" type="noConversion"/>
  </si>
  <si>
    <t>이름(본인)</t>
    <phoneticPr fontId="2" type="noConversion"/>
  </si>
  <si>
    <t>데이</t>
  </si>
  <si>
    <t>약물유지</t>
    <phoneticPr fontId="2" type="noConversion"/>
  </si>
  <si>
    <t>지금(핵심)
근거(데이터)
요청(평가/조치)</t>
    <phoneticPr fontId="2" type="noConversion"/>
  </si>
  <si>
    <t>현재(상태)
F/U(재보고 기준)</t>
    <phoneticPr fontId="2" type="noConversion"/>
  </si>
  <si>
    <t>약속 시간
(HHMM)</t>
    <phoneticPr fontId="2" type="noConversion"/>
  </si>
  <si>
    <t>응급</t>
  </si>
  <si>
    <t>상태변화</t>
  </si>
  <si>
    <t>수술전/후</t>
  </si>
  <si>
    <t>검사전/후</t>
  </si>
  <si>
    <t>동의서</t>
  </si>
  <si>
    <t>협진</t>
  </si>
  <si>
    <t>수혈</t>
  </si>
  <si>
    <t>회진후</t>
  </si>
  <si>
    <t>입원</t>
  </si>
  <si>
    <t>EMR확인</t>
  </si>
  <si>
    <t>CHEMO</t>
  </si>
  <si>
    <t>BLOOD</t>
  </si>
  <si>
    <t>CVR</t>
  </si>
  <si>
    <t>LIFE</t>
  </si>
  <si>
    <t>MEET</t>
  </si>
  <si>
    <t>MARROW</t>
  </si>
  <si>
    <t>ISO</t>
  </si>
  <si>
    <t>C-Status</t>
  </si>
  <si>
    <t>PAIN</t>
  </si>
  <si>
    <t>OUT</t>
  </si>
  <si>
    <t>인계</t>
    <phoneticPr fontId="2" type="noConversion"/>
  </si>
  <si>
    <t>야간 상황</t>
    <phoneticPr fontId="2" type="noConversion"/>
  </si>
  <si>
    <t>통증</t>
    <phoneticPr fontId="2" type="noConversion"/>
  </si>
  <si>
    <t xml:space="preserve">전과 </t>
    <phoneticPr fontId="2" type="noConversion"/>
  </si>
  <si>
    <t>퇴원</t>
    <phoneticPr fontId="2" type="noConversion"/>
  </si>
  <si>
    <t>전원</t>
    <phoneticPr fontId="2" type="noConversion"/>
  </si>
  <si>
    <t>면담</t>
    <phoneticPr fontId="2" type="noConversion"/>
  </si>
  <si>
    <t>처방</t>
    <phoneticPr fontId="2" type="noConversion"/>
  </si>
  <si>
    <t>Lab</t>
    <phoneticPr fontId="2" type="noConversion"/>
  </si>
  <si>
    <t>수술실(OR)</t>
    <phoneticPr fontId="2" type="noConversion"/>
  </si>
  <si>
    <t>메신저 대표 전담 :</t>
    <phoneticPr fontId="2" type="noConversion"/>
  </si>
  <si>
    <t>휴가/반차
(간호사 이륾)</t>
    <phoneticPr fontId="2" type="noConversion"/>
  </si>
  <si>
    <t>예) 김OO, 이OO, 박OO, …</t>
    <phoneticPr fontId="2" type="noConversion"/>
  </si>
  <si>
    <t>예) 전담 김OO (원내전화: 1305)</t>
    <phoneticPr fontId="2" type="noConversion"/>
  </si>
  <si>
    <t>전담 김OO</t>
    <phoneticPr fontId="2" type="noConversion"/>
  </si>
  <si>
    <t>김OO, 박OO</t>
    <phoneticPr fontId="2" type="noConversion"/>
  </si>
  <si>
    <t>김OO(09:00 ~ 13:00)</t>
    <phoneticPr fontId="2" type="noConversion"/>
  </si>
  <si>
    <t>예) 김OO (09:00~13:00)</t>
    <phoneticPr fontId="2" type="noConversion"/>
  </si>
  <si>
    <t>김OO</t>
  </si>
  <si>
    <t>A팀</t>
    <phoneticPr fontId="2" type="noConversion"/>
  </si>
  <si>
    <t>B팀</t>
    <phoneticPr fontId="2" type="noConversion"/>
  </si>
  <si>
    <t>C팀</t>
    <phoneticPr fontId="2" type="noConversion"/>
  </si>
  <si>
    <t>D팀</t>
    <phoneticPr fontId="2" type="noConversion"/>
  </si>
  <si>
    <t>E팀</t>
    <phoneticPr fontId="2" type="noConversion"/>
  </si>
  <si>
    <t>데이</t>
    <phoneticPr fontId="2" type="noConversion"/>
  </si>
  <si>
    <t>이브닝</t>
    <phoneticPr fontId="2" type="noConversion"/>
  </si>
  <si>
    <t>김OO</t>
    <phoneticPr fontId="2" type="noConversion"/>
  </si>
  <si>
    <t>병동대표
예) 김OO</t>
    <phoneticPr fontId="2" type="noConversion"/>
  </si>
  <si>
    <t>환자이름</t>
    <phoneticPr fontId="2" type="noConversion"/>
  </si>
  <si>
    <t>환자 등록번호</t>
    <phoneticPr fontId="2" type="noConversion"/>
  </si>
  <si>
    <t>박재홍</t>
    <phoneticPr fontId="2" type="noConversion"/>
  </si>
  <si>
    <t>이00</t>
    <phoneticPr fontId="2" type="noConversion"/>
  </si>
  <si>
    <t>식사진행</t>
    <phoneticPr fontId="2" type="noConversion"/>
  </si>
  <si>
    <t>B</t>
  </si>
  <si>
    <t>이OO</t>
    <phoneticPr fontId="2" type="noConversion"/>
  </si>
  <si>
    <t>WeValue 현장ACD 메신저 템플릿 ( v1.260414 )</t>
    <phoneticPr fontId="2" type="noConversion"/>
  </si>
  <si>
    <t xml:space="preserve">[PA]대화방 Daily protocol </t>
    <phoneticPr fontId="2" type="noConversion"/>
  </si>
  <si>
    <t>WeValue 현장ACD 메신저 템플릿 ( v1.260415 )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</si>
</sst>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mdd\ hh:mm:ss"/>
    <numFmt numFmtId="177" formatCode="hhmm"/>
    <numFmt numFmtId="178" formatCode="yyyy\-mm\ hh:mm:ss"/>
  </numFmts>
  <fonts count="15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24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color rgb="FFFFFFFF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</font>
    <font>
      <sz val="10"/>
      <color theme="1"/>
      <name val="Segoe UI Symbol"/>
      <family val="3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6" borderId="0" xfId="0" applyFill="1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 applyAlignment="1">
      <alignment horizontal="left" wrapText="1"/>
    </xf>
    <xf numFmtId="0" fontId="0" fillId="5" borderId="1" xfId="0" applyFill="1" applyBorder="1" applyAlignment="1">
      <alignment horizontal="left"/>
    </xf>
    <xf numFmtId="0" fontId="0" fillId="7" borderId="0" xfId="0" applyFill="1" applyAlignment="1">
      <alignment vertical="center"/>
    </xf>
    <xf numFmtId="0" fontId="4" fillId="7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6" fillId="7" borderId="0" xfId="0" applyFont="1" applyFill="1" applyAlignment="1">
      <alignment vertical="center"/>
    </xf>
    <xf numFmtId="176" fontId="7" fillId="2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76" fontId="7" fillId="6" borderId="0" xfId="0" applyNumberFormat="1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5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178" fontId="9" fillId="6" borderId="0" xfId="0" applyNumberFormat="1" applyFont="1" applyFill="1" applyAlignment="1">
      <alignment horizontal="center" vertical="center"/>
    </xf>
    <xf numFmtId="177" fontId="9" fillId="6" borderId="0" xfId="0" applyNumberFormat="1" applyFont="1" applyFill="1" applyAlignment="1">
      <alignment horizontal="center" vertical="center"/>
    </xf>
    <xf numFmtId="0" fontId="7" fillId="6" borderId="5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9" fillId="0" borderId="7" xfId="0" applyFont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76" fontId="7" fillId="2" borderId="1" xfId="0" applyNumberFormat="1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176" fontId="8" fillId="6" borderId="1" xfId="0" applyNumberFormat="1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/>
    </xf>
    <xf numFmtId="176" fontId="3" fillId="6" borderId="3" xfId="0" applyNumberFormat="1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left" vertical="center" wrapText="1"/>
    </xf>
    <xf numFmtId="176" fontId="7" fillId="2" borderId="1" xfId="0" applyNumberFormat="1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7" fillId="2" borderId="0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176" fontId="8" fillId="6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7" fillId="2" borderId="8" xfId="0" applyFont="1" applyFill="1" applyBorder="1" applyAlignment="1">
      <alignment vertical="center" wrapText="1"/>
    </xf>
    <xf numFmtId="0" fontId="7" fillId="2" borderId="5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horizontal="right" vertical="center" wrapText="1"/>
    </xf>
    <xf numFmtId="0" fontId="14" fillId="0" borderId="0" xfId="0" applyFont="1" applyAlignment="1">
      <alignment vertical="center"/>
    </xf>
  </cellXfs>
  <cellStyles count="1">
    <cellStyle name="표준" xfId="0" builtinId="0"/>
  </cellStyles>
  <dxfs count="6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99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9900"/>
        </patternFill>
      </fill>
    </dxf>
    <dxf>
      <font>
        <color theme="0"/>
      </font>
      <fill>
        <patternFill>
          <bgColor rgb="FF00B050"/>
        </patternFill>
      </fill>
    </dxf>
  </dxfs>
  <tableStyles count="0" defaultTableStyle="TableStyleMedium9" defaultPivotStyle="PivotStyleLight16"/>
  <colors>
    <mruColors>
      <color rgb="FFFF990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EA284-0C38-4867-B2EA-5E67B4DD5AFE}">
  <sheetPr>
    <pageSetUpPr fitToPage="1"/>
  </sheetPr>
  <dimension ref="A1:L20"/>
  <sheetViews>
    <sheetView showGridLines="0" tabSelected="1" zoomScale="115" zoomScaleNormal="115" workbookViewId="0">
      <selection activeCell="B1" sqref="B1:L1"/>
    </sheetView>
  </sheetViews>
  <sheetFormatPr defaultRowHeight="16.5" x14ac:dyDescent="0.3"/>
  <cols>
    <col min="1" max="1" width="2.75" style="13" customWidth="1"/>
    <col min="2" max="2" width="16.875" style="13" bestFit="1" customWidth="1"/>
    <col min="3" max="8" width="13.625" style="13" customWidth="1"/>
    <col min="9" max="9" width="13.625" style="13" bestFit="1" customWidth="1"/>
    <col min="10" max="10" width="10.5" style="13" bestFit="1" customWidth="1"/>
    <col min="11" max="11" width="13.25" style="13" bestFit="1" customWidth="1"/>
    <col min="12" max="12" width="96.125" style="13" bestFit="1" customWidth="1"/>
    <col min="13" max="16384" width="9" style="13"/>
  </cols>
  <sheetData>
    <row r="1" spans="1:12" ht="38.25" x14ac:dyDescent="0.3">
      <c r="A1" s="1"/>
      <c r="B1" s="54" t="s">
        <v>143</v>
      </c>
      <c r="C1" s="54"/>
      <c r="D1" s="55"/>
      <c r="E1" s="55"/>
      <c r="F1" s="55"/>
      <c r="G1" s="55"/>
      <c r="H1" s="55"/>
      <c r="I1" s="55"/>
      <c r="J1" s="55"/>
      <c r="K1" s="55"/>
      <c r="L1" s="55"/>
    </row>
    <row r="2" spans="1:12" ht="36" customHeight="1" x14ac:dyDescent="0.3">
      <c r="A2" s="1"/>
      <c r="B2" s="56" t="s">
        <v>29</v>
      </c>
      <c r="C2" s="56"/>
      <c r="D2" s="56"/>
      <c r="E2" s="56"/>
      <c r="F2" s="56"/>
      <c r="G2" s="56"/>
      <c r="H2" s="56"/>
      <c r="I2" s="56"/>
      <c r="J2" s="56"/>
      <c r="K2" s="56"/>
      <c r="L2" s="56"/>
    </row>
    <row r="3" spans="1:12" x14ac:dyDescent="0.3">
      <c r="A3" s="1"/>
      <c r="B3" s="57" t="s">
        <v>56</v>
      </c>
      <c r="C3" s="57"/>
      <c r="D3" s="57"/>
      <c r="E3" s="57"/>
      <c r="F3" s="57"/>
      <c r="G3" s="57"/>
      <c r="H3" s="57"/>
      <c r="I3" s="57"/>
      <c r="J3" s="57"/>
      <c r="K3" s="57"/>
      <c r="L3" s="57"/>
    </row>
    <row r="4" spans="1:12" s="14" customFormat="1" x14ac:dyDescent="0.3">
      <c r="A4" s="10"/>
      <c r="B4" s="17" t="s">
        <v>52</v>
      </c>
      <c r="C4" s="17" t="s">
        <v>49</v>
      </c>
      <c r="D4" s="18">
        <v>141</v>
      </c>
      <c r="E4" s="17" t="s">
        <v>51</v>
      </c>
      <c r="F4" s="18" t="s">
        <v>139</v>
      </c>
      <c r="G4" s="17" t="s">
        <v>50</v>
      </c>
      <c r="H4" s="18" t="s">
        <v>81</v>
      </c>
      <c r="I4" s="19" t="s">
        <v>80</v>
      </c>
      <c r="J4" s="18" t="s">
        <v>132</v>
      </c>
      <c r="K4" s="19"/>
      <c r="L4" s="20" t="str">
        <f>"["&amp;D4&amp;"/"&amp;F4&amp;"/"&amp;H4&amp;"] "&amp;J4</f>
        <v>[141/B/데이] 김OO</v>
      </c>
    </row>
    <row r="5" spans="1:12" s="16" customFormat="1" ht="13.5" x14ac:dyDescent="0.3">
      <c r="A5" s="15"/>
      <c r="B5" s="21"/>
      <c r="C5" s="21"/>
      <c r="D5" s="22"/>
      <c r="E5" s="22"/>
      <c r="F5" s="22"/>
      <c r="G5" s="22"/>
      <c r="H5" s="22"/>
      <c r="I5" s="22"/>
      <c r="J5" s="22"/>
      <c r="K5" s="22"/>
      <c r="L5" s="23"/>
    </row>
    <row r="6" spans="1:12" s="16" customFormat="1" ht="13.5" x14ac:dyDescent="0.3">
      <c r="A6" s="15"/>
      <c r="B6" s="21"/>
      <c r="C6" s="21"/>
      <c r="D6" s="22"/>
      <c r="E6" s="22"/>
      <c r="F6" s="22"/>
      <c r="G6" s="22"/>
      <c r="H6" s="22"/>
      <c r="I6" s="22"/>
      <c r="J6" s="22"/>
      <c r="K6" s="22"/>
      <c r="L6" s="23"/>
    </row>
    <row r="7" spans="1:12" s="16" customFormat="1" ht="42.75" customHeight="1" x14ac:dyDescent="0.3">
      <c r="A7" s="15"/>
      <c r="B7" s="21"/>
      <c r="C7" s="46" t="s">
        <v>133</v>
      </c>
      <c r="D7" s="46" t="s">
        <v>125</v>
      </c>
      <c r="E7" s="46" t="s">
        <v>126</v>
      </c>
      <c r="F7" s="46" t="s">
        <v>127</v>
      </c>
      <c r="G7" s="46" t="s">
        <v>128</v>
      </c>
      <c r="H7" s="46" t="s">
        <v>129</v>
      </c>
      <c r="I7" s="22"/>
      <c r="J7" s="22"/>
      <c r="K7" s="22"/>
      <c r="L7" s="23"/>
    </row>
    <row r="8" spans="1:12" s="16" customFormat="1" ht="42.75" customHeight="1" x14ac:dyDescent="0.3">
      <c r="A8" s="15"/>
      <c r="B8" s="46" t="s">
        <v>130</v>
      </c>
      <c r="C8" s="50" t="s">
        <v>132</v>
      </c>
      <c r="D8" s="50" t="s">
        <v>132</v>
      </c>
      <c r="E8" s="50" t="s">
        <v>132</v>
      </c>
      <c r="F8" s="50" t="s">
        <v>124</v>
      </c>
      <c r="G8" s="50" t="s">
        <v>124</v>
      </c>
      <c r="H8" s="50" t="s">
        <v>124</v>
      </c>
      <c r="I8" s="22"/>
      <c r="J8" s="22"/>
      <c r="K8" s="22"/>
      <c r="L8" s="52" t="str">
        <f>"[병동]대화방 daily protocol 
[4월/4일][소속병동 협업방]병동 인력 현황 
■ D (데이): "&amp;C8&amp;" (A)"&amp;D8&amp;" (B)"&amp;E8&amp;" (C)"&amp;F8&amp;" (D)"&amp;G8&amp;" (E)"&amp;H8&amp;"
■ E (이브닝): "&amp;C9&amp;" (A)"&amp;D9&amp;" (B)"&amp;E9&amp;" (C)"&amp;F9&amp;" (D)"&amp;G9&amp;" (E)"&amp;H9</f>
        <v>[병동]대화방 daily protocol 
[4월/4일][소속병동 협업방]병동 인력 현황 
■ D (데이): 김OO (A)김OO (B)김OO (C)김OO (D)김OO (E)김OO
■ E (이브닝): 이OO (A)김OO (B)이OO (C)김OO (D)김OO (E)김OO</v>
      </c>
    </row>
    <row r="9" spans="1:12" s="16" customFormat="1" ht="42.75" customHeight="1" x14ac:dyDescent="0.3">
      <c r="A9" s="15"/>
      <c r="B9" s="46" t="s">
        <v>131</v>
      </c>
      <c r="C9" s="50" t="s">
        <v>140</v>
      </c>
      <c r="D9" s="50" t="s">
        <v>132</v>
      </c>
      <c r="E9" s="50" t="s">
        <v>140</v>
      </c>
      <c r="F9" s="50" t="s">
        <v>124</v>
      </c>
      <c r="G9" s="50" t="s">
        <v>124</v>
      </c>
      <c r="H9" s="50" t="s">
        <v>124</v>
      </c>
      <c r="I9" s="22"/>
      <c r="J9" s="22"/>
      <c r="K9" s="22"/>
      <c r="L9" s="53"/>
    </row>
    <row r="10" spans="1:12" s="16" customFormat="1" ht="13.5" x14ac:dyDescent="0.3">
      <c r="A10" s="15"/>
      <c r="B10" s="21"/>
      <c r="C10" s="21"/>
      <c r="D10" s="22"/>
      <c r="E10" s="22"/>
      <c r="F10" s="22"/>
      <c r="G10" s="22"/>
      <c r="H10" s="22"/>
      <c r="I10" s="22"/>
      <c r="J10" s="22"/>
      <c r="K10" s="22"/>
      <c r="L10" s="23"/>
    </row>
    <row r="11" spans="1:12" x14ac:dyDescent="0.3">
      <c r="A11" s="1"/>
      <c r="B11" s="24" t="s">
        <v>19</v>
      </c>
      <c r="C11" s="24" t="s">
        <v>22</v>
      </c>
      <c r="D11" s="24" t="s">
        <v>135</v>
      </c>
      <c r="E11" s="24" t="s">
        <v>134</v>
      </c>
      <c r="F11" s="39"/>
      <c r="G11" s="1"/>
      <c r="H11" s="1"/>
      <c r="I11" s="1"/>
      <c r="J11" s="1"/>
      <c r="K11" s="40"/>
      <c r="L11" s="24" t="s">
        <v>24</v>
      </c>
    </row>
    <row r="12" spans="1:12" x14ac:dyDescent="0.3">
      <c r="A12" s="1"/>
      <c r="B12" s="25">
        <v>1411</v>
      </c>
      <c r="C12" s="25" t="s">
        <v>136</v>
      </c>
      <c r="D12" s="25">
        <v>12345</v>
      </c>
      <c r="E12" s="25" t="s">
        <v>137</v>
      </c>
      <c r="F12" s="39"/>
      <c r="G12" s="38"/>
      <c r="H12" s="38"/>
      <c r="I12" s="38"/>
      <c r="J12" s="38"/>
      <c r="K12" s="41"/>
      <c r="L12" s="37" t="str">
        <f ca="1">"["&amp;B12&amp;"]-["&amp;C12&amp;"]-["&amp;D12&amp;"]-["&amp;E12&amp;"]-["&amp;TEXT(TEXT(NOW(), "mmdd"),"0000")&amp;"]-["&amp;TEXT(TEXT(NOW(), "hhmm"),"0000")&amp;"]"</f>
        <v>[1411]-[박재홍]-[12345]-[이00]-[0415]-[0008]</v>
      </c>
    </row>
    <row r="13" spans="1:12" x14ac:dyDescent="0.3">
      <c r="A13" s="9"/>
      <c r="B13" s="21"/>
      <c r="C13" s="21"/>
      <c r="D13" s="31"/>
      <c r="E13" s="31"/>
      <c r="F13" s="31"/>
      <c r="G13" s="31"/>
      <c r="H13" s="32"/>
      <c r="I13" s="33"/>
      <c r="J13" s="31"/>
      <c r="K13" s="31"/>
      <c r="L13" s="31"/>
    </row>
    <row r="14" spans="1:12" ht="55.5" customHeight="1" x14ac:dyDescent="0.3">
      <c r="A14" s="1"/>
      <c r="B14" s="24" t="s">
        <v>1</v>
      </c>
      <c r="C14" s="26" t="s">
        <v>77</v>
      </c>
      <c r="D14" s="24" t="s">
        <v>2</v>
      </c>
      <c r="E14" s="60" t="s">
        <v>83</v>
      </c>
      <c r="F14" s="61"/>
      <c r="G14" s="62"/>
      <c r="H14" s="24" t="s">
        <v>3</v>
      </c>
      <c r="I14" s="51"/>
      <c r="J14" s="51"/>
      <c r="K14" s="51"/>
      <c r="L14" s="24" t="s">
        <v>23</v>
      </c>
    </row>
    <row r="15" spans="1:12" ht="16.5" customHeight="1" x14ac:dyDescent="0.3">
      <c r="A15" s="1"/>
      <c r="B15" s="24" t="s">
        <v>79</v>
      </c>
      <c r="C15" s="27" t="s">
        <v>97</v>
      </c>
      <c r="D15" s="27">
        <v>10</v>
      </c>
      <c r="E15" s="63"/>
      <c r="F15" s="64"/>
      <c r="G15" s="65"/>
      <c r="H15" s="24"/>
      <c r="I15" s="51"/>
      <c r="J15" s="51"/>
      <c r="K15" s="51"/>
      <c r="L15" s="29" t="str">
        <f ca="1">IF(D15=10,"🔴",IF(D15=4,"🟠",IF(D15=12,"🟢","")))&amp;"["&amp;C15&amp;"/"&amp;D15&amp;"]-"&amp;IF($L$12="","", "[A]"&amp;$L$12&amp;" / "&amp;E15)</f>
        <v xml:space="preserve">🔴[BLOOD/10]-[A][1411]-[박재홍]-[12345]-[이00]-[0415]-[0008] / </v>
      </c>
    </row>
    <row r="16" spans="1:12" ht="16.5" customHeight="1" x14ac:dyDescent="0.3">
      <c r="A16" s="1"/>
      <c r="B16" s="24" t="s">
        <v>78</v>
      </c>
      <c r="C16" s="27" t="s">
        <v>88</v>
      </c>
      <c r="D16" s="27">
        <v>12</v>
      </c>
      <c r="E16" s="63" t="s">
        <v>138</v>
      </c>
      <c r="F16" s="64"/>
      <c r="G16" s="65"/>
      <c r="H16" s="24"/>
      <c r="I16" s="51"/>
      <c r="J16" s="51"/>
      <c r="K16" s="51"/>
      <c r="L16" s="29" t="str">
        <f ca="1">IF(D16=10,"🔴",IF(D16=4,"🟠",IF(D16=12,"🟢","")))&amp;"["&amp;C16&amp;"/"&amp;D16&amp;"]-"&amp;IF($L$12="","", "[A]"&amp;$L$12&amp;"/"&amp;E16)</f>
        <v>🟢[수술전/후/12]-[A][1411]-[박재홍]-[12345]-[이00]-[0415]-[0008]/식사진행</v>
      </c>
    </row>
    <row r="17" spans="1:12" x14ac:dyDescent="0.3">
      <c r="A17" s="1"/>
      <c r="B17" s="24" t="s">
        <v>43</v>
      </c>
      <c r="C17" s="24"/>
      <c r="D17" s="24"/>
      <c r="E17" s="60"/>
      <c r="F17" s="61"/>
      <c r="G17" s="62"/>
      <c r="H17" s="27"/>
      <c r="I17" s="51"/>
      <c r="J17" s="51"/>
      <c r="K17" s="51"/>
      <c r="L17" s="29" t="str">
        <f ca="1">"[C/"&amp;H17&amp;"]"&amp;$L$12</f>
        <v>[C/][1411]-[박재홍]-[12345]-[이00]-[0415]-[0008]</v>
      </c>
    </row>
    <row r="18" spans="1:12" x14ac:dyDescent="0.3">
      <c r="A18" s="9"/>
      <c r="B18" s="34"/>
      <c r="C18" s="34"/>
      <c r="D18" s="34"/>
      <c r="E18" s="35"/>
      <c r="F18" s="34"/>
      <c r="G18" s="34"/>
      <c r="H18" s="34"/>
      <c r="I18" s="34"/>
      <c r="J18" s="34"/>
      <c r="K18" s="34"/>
      <c r="L18" s="36"/>
    </row>
    <row r="19" spans="1:12" x14ac:dyDescent="0.3">
      <c r="A19" s="1"/>
      <c r="B19" s="24" t="s">
        <v>1</v>
      </c>
      <c r="C19" s="59" t="s">
        <v>107</v>
      </c>
      <c r="D19" s="59"/>
      <c r="E19" s="51" t="s">
        <v>47</v>
      </c>
      <c r="F19" s="51"/>
      <c r="G19" s="51"/>
      <c r="H19" s="51"/>
      <c r="I19" s="51" t="s">
        <v>48</v>
      </c>
      <c r="J19" s="51"/>
      <c r="K19" s="51"/>
      <c r="L19" s="24"/>
    </row>
    <row r="20" spans="1:12" ht="66.75" customHeight="1" x14ac:dyDescent="0.3">
      <c r="A20" s="1"/>
      <c r="B20" s="30" t="s">
        <v>46</v>
      </c>
      <c r="C20" s="58"/>
      <c r="D20" s="58"/>
      <c r="E20" s="58"/>
      <c r="F20" s="58"/>
      <c r="G20" s="58"/>
      <c r="H20" s="58"/>
      <c r="I20" s="58"/>
      <c r="J20" s="58"/>
      <c r="K20" s="58"/>
      <c r="L20" s="29" t="str">
        <f ca="1">IF($L$12="","", "[A][야간이음기록]"&amp;$L$12&amp;"/지금:"&amp;C20&amp;"/조치:"&amp;E20&amp;"/[D]"&amp;E20&amp;I20)</f>
        <v>[A][야간이음기록][1411]-[박재홍]-[12345]-[이00]-[0415]-[0008]/지금:/조치:/[D]</v>
      </c>
    </row>
  </sheetData>
  <mergeCells count="18">
    <mergeCell ref="C20:D20"/>
    <mergeCell ref="E20:H20"/>
    <mergeCell ref="I20:K20"/>
    <mergeCell ref="C19:D19"/>
    <mergeCell ref="E19:H19"/>
    <mergeCell ref="I19:K19"/>
    <mergeCell ref="I16:K16"/>
    <mergeCell ref="I17:K17"/>
    <mergeCell ref="L8:L9"/>
    <mergeCell ref="B1:L1"/>
    <mergeCell ref="B2:L2"/>
    <mergeCell ref="B3:L3"/>
    <mergeCell ref="E14:G14"/>
    <mergeCell ref="E15:G15"/>
    <mergeCell ref="E16:G16"/>
    <mergeCell ref="E17:G17"/>
    <mergeCell ref="I14:K14"/>
    <mergeCell ref="I15:K15"/>
  </mergeCells>
  <phoneticPr fontId="2" type="noConversion"/>
  <conditionalFormatting sqref="C15:D16">
    <cfRule type="expression" dxfId="5" priority="1">
      <formula>C15=12</formula>
    </cfRule>
    <cfRule type="expression" dxfId="4" priority="2">
      <formula>C15=4</formula>
    </cfRule>
    <cfRule type="expression" dxfId="3" priority="3">
      <formula>C15=10</formula>
    </cfRule>
  </conditionalFormatting>
  <pageMargins left="0.75" right="0.75" top="1" bottom="1" header="0.5" footer="0.5"/>
  <pageSetup paperSize="9" scale="53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BD535651-7CB1-4F6C-A9C7-D36E08475EC4}">
          <x14:formula1>
            <xm:f>'02_코드목록'!$L$2:$L$11</xm:f>
          </x14:formula1>
          <xm:sqref>C15</xm:sqref>
        </x14:dataValidation>
        <x14:dataValidation type="list" allowBlank="1" showInputMessage="1" showErrorMessage="1" xr:uid="{09E44FD8-B2A0-4B4D-BB5A-2EB0A668870F}">
          <x14:formula1>
            <xm:f>'02_코드목록'!$L$16:$L$34</xm:f>
          </x14:formula1>
          <xm:sqref>C16</xm:sqref>
        </x14:dataValidation>
        <x14:dataValidation type="list" allowBlank="1" showInputMessage="1" showErrorMessage="1" xr:uid="{B3737C29-562A-4282-934D-F991FFE6EA84}">
          <x14:formula1>
            <xm:f>'02_코드목록'!$K$36:$K$39</xm:f>
          </x14:formula1>
          <xm:sqref>D4</xm:sqref>
        </x14:dataValidation>
        <x14:dataValidation type="list" allowBlank="1" showInputMessage="1" showErrorMessage="1" xr:uid="{EC2DE752-9611-4D6D-8321-506FDAEDD54A}">
          <x14:formula1>
            <xm:f>'02_코드목록'!$E$36:$E$40</xm:f>
          </x14:formula1>
          <xm:sqref>F4</xm:sqref>
        </x14:dataValidation>
        <x14:dataValidation type="list" allowBlank="1" showInputMessage="1" showErrorMessage="1" xr:uid="{77F15FDC-6F2F-4D03-AABC-5301FA1DE260}">
          <x14:formula1>
            <xm:f>'02_코드목록'!$B$36:$B$38</xm:f>
          </x14:formula1>
          <xm:sqref>H4</xm:sqref>
        </x14:dataValidation>
        <x14:dataValidation type="list" allowBlank="1" xr:uid="{4C8CCEF6-66FC-4EED-8D82-9CCF6B7B328B}">
          <x14:formula1>
            <xm:f>'02_코드목록'!$D$2</xm:f>
          </x14:formula1>
          <xm:sqref>H17</xm:sqref>
        </x14:dataValidation>
        <x14:dataValidation type="list" allowBlank="1" xr:uid="{63C4C854-9588-4629-BEC8-3439CB301324}">
          <x14:formula1>
            <xm:f>'02_코드목록'!$A$2:$A$4</xm:f>
          </x14:formula1>
          <xm:sqref>D15:D16 D18</xm:sqref>
        </x14:dataValidation>
        <x14:dataValidation type="list" allowBlank="1" showInputMessage="1" showErrorMessage="1" xr:uid="{AD9FC5F5-5B49-4688-8DFA-82B8283FE93A}">
          <x14:formula1>
            <xm:f>'02_코드목록'!$J$2:$J$4</xm:f>
          </x14:formula1>
          <xm:sqref>E18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K17"/>
  <sheetViews>
    <sheetView showGridLines="0" zoomScale="130" zoomScaleNormal="130" workbookViewId="0">
      <selection activeCell="K15" sqref="K15"/>
    </sheetView>
  </sheetViews>
  <sheetFormatPr defaultRowHeight="16.5" x14ac:dyDescent="0.3"/>
  <cols>
    <col min="1" max="1" width="2.75" style="13" customWidth="1"/>
    <col min="2" max="2" width="16.875" style="13" bestFit="1" customWidth="1"/>
    <col min="3" max="3" width="11.125" style="13" bestFit="1" customWidth="1"/>
    <col min="4" max="4" width="16.625" style="13" bestFit="1" customWidth="1"/>
    <col min="5" max="6" width="9.25" style="13" bestFit="1" customWidth="1"/>
    <col min="7" max="7" width="11.5" style="13" bestFit="1" customWidth="1"/>
    <col min="8" max="8" width="13.25" style="13" bestFit="1" customWidth="1"/>
    <col min="9" max="9" width="13.625" style="13" bestFit="1" customWidth="1"/>
    <col min="10" max="10" width="14.875" style="13" bestFit="1" customWidth="1"/>
    <col min="11" max="11" width="96.125" style="13" bestFit="1" customWidth="1"/>
    <col min="12" max="16384" width="9" style="13"/>
  </cols>
  <sheetData>
    <row r="1" spans="1:11" ht="38.25" x14ac:dyDescent="0.3">
      <c r="A1" s="1"/>
      <c r="B1" s="54" t="s">
        <v>141</v>
      </c>
      <c r="C1" s="54"/>
      <c r="D1" s="55"/>
      <c r="E1" s="55"/>
      <c r="F1" s="55"/>
      <c r="G1" s="55"/>
      <c r="H1" s="55"/>
      <c r="I1" s="55"/>
      <c r="J1" s="55"/>
      <c r="K1" s="55"/>
    </row>
    <row r="2" spans="1:11" x14ac:dyDescent="0.3">
      <c r="A2" s="1"/>
      <c r="B2" s="75" t="s">
        <v>29</v>
      </c>
      <c r="C2" s="75"/>
      <c r="D2" s="75"/>
      <c r="E2" s="75"/>
      <c r="F2" s="75"/>
      <c r="G2" s="75"/>
      <c r="H2" s="75"/>
      <c r="I2" s="75"/>
      <c r="J2" s="75"/>
      <c r="K2" s="75"/>
    </row>
    <row r="3" spans="1:11" x14ac:dyDescent="0.3">
      <c r="A3" s="1"/>
      <c r="B3" s="57" t="s">
        <v>56</v>
      </c>
      <c r="C3" s="57"/>
      <c r="D3" s="57"/>
      <c r="E3" s="57"/>
      <c r="F3" s="57"/>
      <c r="G3" s="57"/>
      <c r="H3" s="57"/>
      <c r="I3" s="57"/>
      <c r="J3" s="57"/>
      <c r="K3" s="57"/>
    </row>
    <row r="4" spans="1:11" s="14" customFormat="1" x14ac:dyDescent="0.3">
      <c r="A4" s="10"/>
      <c r="B4" s="17" t="s">
        <v>53</v>
      </c>
      <c r="C4" s="17" t="s">
        <v>54</v>
      </c>
      <c r="D4" s="18"/>
      <c r="E4" s="42" t="s">
        <v>55</v>
      </c>
      <c r="F4" s="43"/>
      <c r="G4" s="19" t="s">
        <v>80</v>
      </c>
      <c r="H4" s="18"/>
      <c r="I4" s="19" t="s">
        <v>50</v>
      </c>
      <c r="J4" s="44"/>
      <c r="K4" s="20" t="str">
        <f>"["&amp;D4&amp;"/"&amp;F4&amp;"] "&amp;H4&amp;"("&amp;J4&amp;")"</f>
        <v>[/] ()</v>
      </c>
    </row>
    <row r="5" spans="1:11" s="14" customFormat="1" x14ac:dyDescent="0.3">
      <c r="A5" s="10"/>
      <c r="B5" s="21"/>
      <c r="C5" s="21"/>
      <c r="D5" s="21"/>
      <c r="E5" s="21"/>
      <c r="F5" s="21"/>
      <c r="G5" s="21"/>
      <c r="H5" s="21"/>
      <c r="I5" s="21"/>
      <c r="J5" s="21"/>
      <c r="K5" s="21"/>
    </row>
    <row r="6" spans="1:11" s="14" customFormat="1" ht="26.25" customHeight="1" x14ac:dyDescent="0.3">
      <c r="A6" s="10"/>
      <c r="B6" s="73"/>
      <c r="C6" s="74"/>
      <c r="D6" s="74"/>
      <c r="E6" s="74"/>
      <c r="F6" s="74"/>
      <c r="G6" s="74"/>
      <c r="H6" s="74"/>
      <c r="I6" s="74"/>
      <c r="J6" s="74"/>
      <c r="K6" s="48" t="s">
        <v>142</v>
      </c>
    </row>
    <row r="7" spans="1:11" s="14" customFormat="1" ht="38.25" customHeight="1" x14ac:dyDescent="0.3">
      <c r="A7" s="10"/>
      <c r="B7" s="47" t="s">
        <v>116</v>
      </c>
      <c r="C7" s="70" t="s">
        <v>120</v>
      </c>
      <c r="D7" s="70"/>
      <c r="E7" s="66" t="s">
        <v>119</v>
      </c>
      <c r="F7" s="67"/>
      <c r="G7" s="67"/>
      <c r="H7" s="49"/>
      <c r="I7" s="49"/>
      <c r="J7" s="49"/>
      <c r="K7" s="69" t="str">
        <f>"[4월/5일][소속과 협업방] PA 업무 개시 및 대응 현황 
■ 메신저 대표 전담:"&amp;C7&amp;"
 - 휴가/반차: "&amp;C8&amp;"
 - 수술실(OR) : "&amp;C9</f>
        <v>[4월/5일][소속과 협업방] PA 업무 개시 및 대응 현황 
■ 메신저 대표 전담:전담 김OO
 - 휴가/반차: 김OO, 박OO
 - 수술실(OR) : 김OO(09:00 ~ 13:00)</v>
      </c>
    </row>
    <row r="8" spans="1:11" s="14" customFormat="1" ht="38.25" customHeight="1" x14ac:dyDescent="0.3">
      <c r="A8" s="10"/>
      <c r="B8" s="47" t="s">
        <v>117</v>
      </c>
      <c r="C8" s="70" t="s">
        <v>121</v>
      </c>
      <c r="D8" s="70"/>
      <c r="E8" s="66" t="s">
        <v>118</v>
      </c>
      <c r="F8" s="67"/>
      <c r="G8" s="67"/>
      <c r="H8" s="49"/>
      <c r="I8" s="49"/>
      <c r="J8" s="49"/>
      <c r="K8" s="69"/>
    </row>
    <row r="9" spans="1:11" s="14" customFormat="1" ht="38.25" customHeight="1" x14ac:dyDescent="0.3">
      <c r="A9" s="10"/>
      <c r="B9" s="47" t="s">
        <v>115</v>
      </c>
      <c r="C9" s="70" t="s">
        <v>122</v>
      </c>
      <c r="D9" s="70"/>
      <c r="E9" s="66" t="s">
        <v>123</v>
      </c>
      <c r="F9" s="67"/>
      <c r="G9" s="67"/>
      <c r="H9" s="49"/>
      <c r="I9" s="49"/>
      <c r="J9" s="49"/>
      <c r="K9" s="69"/>
    </row>
    <row r="10" spans="1:11" s="16" customFormat="1" ht="13.5" x14ac:dyDescent="0.3">
      <c r="A10" s="15"/>
      <c r="B10" s="21"/>
      <c r="C10" s="21"/>
      <c r="D10" s="22"/>
      <c r="E10" s="22"/>
      <c r="F10" s="22"/>
      <c r="G10" s="22"/>
      <c r="H10" s="22"/>
      <c r="I10" s="22"/>
      <c r="J10" s="22"/>
      <c r="K10" s="23"/>
    </row>
    <row r="11" spans="1:11" x14ac:dyDescent="0.3">
      <c r="A11" s="1"/>
      <c r="B11" s="24" t="s">
        <v>19</v>
      </c>
      <c r="C11" s="24" t="s">
        <v>22</v>
      </c>
      <c r="D11" s="24" t="s">
        <v>20</v>
      </c>
      <c r="E11" s="24" t="s">
        <v>21</v>
      </c>
      <c r="F11" s="39"/>
      <c r="G11" s="1"/>
      <c r="H11" s="1"/>
      <c r="I11" s="1"/>
      <c r="J11" s="1"/>
      <c r="K11" s="24" t="s">
        <v>24</v>
      </c>
    </row>
    <row r="12" spans="1:11" x14ac:dyDescent="0.3">
      <c r="A12" s="1"/>
      <c r="B12" s="25"/>
      <c r="C12" s="25"/>
      <c r="D12" s="25"/>
      <c r="E12" s="25"/>
      <c r="F12" s="39"/>
      <c r="G12" s="38"/>
      <c r="H12" s="38"/>
      <c r="I12" s="76"/>
      <c r="J12" s="38"/>
      <c r="K12" s="37" t="str">
        <f ca="1">"["&amp;B12&amp;"]-["&amp;C12&amp;"]-["&amp;D12&amp;"]-["&amp;E12&amp;"]-["&amp;TEXT(TEXT(NOW(), "mmdd"),"0000")&amp;"]-["&amp;TEXT(TEXT(NOW(), "hhmm"),"0000")&amp;"]"</f>
        <v>[]-[]-[]-[]-[0415]-[0008]</v>
      </c>
    </row>
    <row r="13" spans="1:11" x14ac:dyDescent="0.3">
      <c r="A13" s="9"/>
      <c r="B13" s="21"/>
      <c r="C13" s="21"/>
      <c r="D13" s="31"/>
      <c r="E13" s="31"/>
      <c r="F13" s="31"/>
      <c r="G13" s="31"/>
      <c r="H13" s="32"/>
      <c r="I13" s="33"/>
      <c r="J13" s="31"/>
      <c r="K13" s="31"/>
    </row>
    <row r="14" spans="1:11" ht="49.5" customHeight="1" x14ac:dyDescent="0.3">
      <c r="A14" s="1"/>
      <c r="B14" s="24" t="s">
        <v>1</v>
      </c>
      <c r="C14" s="26" t="s">
        <v>77</v>
      </c>
      <c r="D14" s="24" t="s">
        <v>2</v>
      </c>
      <c r="E14" s="51" t="s">
        <v>83</v>
      </c>
      <c r="F14" s="51"/>
      <c r="G14" s="24"/>
      <c r="H14" s="24" t="s">
        <v>3</v>
      </c>
      <c r="I14" s="24" t="s">
        <v>85</v>
      </c>
      <c r="J14" s="24" t="s">
        <v>84</v>
      </c>
      <c r="K14" s="24" t="s">
        <v>23</v>
      </c>
    </row>
    <row r="15" spans="1:11" x14ac:dyDescent="0.3">
      <c r="A15" s="1"/>
      <c r="B15" s="24" t="s">
        <v>78</v>
      </c>
      <c r="C15" s="27" t="s">
        <v>87</v>
      </c>
      <c r="D15" s="27">
        <v>10</v>
      </c>
      <c r="E15" s="68"/>
      <c r="F15" s="68"/>
      <c r="G15" s="45"/>
      <c r="H15" s="24"/>
      <c r="I15" s="24"/>
      <c r="J15" s="24"/>
      <c r="K15" s="29" t="str">
        <f ca="1">IF(D15=10,"🔴",IF(D15=4,"🟡",IF(D15=12,"🟢","")))&amp;"["&amp;C15&amp;"/"&amp;D15&amp;"]-"&amp;IF($K$12="","","[A]"&amp;$K$12&amp;" / "&amp;E15)</f>
        <v xml:space="preserve">🔴[상태변화/10]-[A][]-[]-[]-[]-[0415]-[0008] / </v>
      </c>
    </row>
    <row r="16" spans="1:11" x14ac:dyDescent="0.3">
      <c r="A16" s="1"/>
      <c r="B16" s="24" t="s">
        <v>42</v>
      </c>
      <c r="C16" s="24"/>
      <c r="D16" s="24"/>
      <c r="E16" s="24"/>
      <c r="F16" s="24"/>
      <c r="G16" s="24"/>
      <c r="H16" s="27"/>
      <c r="I16" s="28"/>
      <c r="J16" s="24"/>
      <c r="K16" s="29" t="str">
        <f ca="1">IF($K$12="","", "[C]"&amp;$K$12&amp;" / "&amp;IF(H16="","{사유코드}",H16)&amp;" / 다음확인 "&amp;I16&amp;" (전화 1회 후)")</f>
        <v>[C][]-[]-[]-[]-[0415]-[0008] / {사유코드} / 다음확인  (전화 1회 후)</v>
      </c>
    </row>
    <row r="17" spans="1:11" x14ac:dyDescent="0.3">
      <c r="A17" s="1"/>
      <c r="B17" s="24" t="s">
        <v>0</v>
      </c>
      <c r="C17" s="24"/>
      <c r="D17" s="24"/>
      <c r="E17" s="46"/>
      <c r="F17" s="24"/>
      <c r="G17" s="24"/>
      <c r="H17" s="24"/>
      <c r="I17" s="24"/>
      <c r="J17" s="28" t="s">
        <v>82</v>
      </c>
      <c r="K17" s="29" t="str">
        <f ca="1">"[D]"&amp;$K$12&amp;" / "&amp;J17</f>
        <v>[D][]-[]-[]-[]-[0415]-[0008] / 약물유지</v>
      </c>
    </row>
  </sheetData>
  <mergeCells count="12">
    <mergeCell ref="E7:G7"/>
    <mergeCell ref="E8:G8"/>
    <mergeCell ref="E9:G9"/>
    <mergeCell ref="E15:F15"/>
    <mergeCell ref="B1:K1"/>
    <mergeCell ref="B2:K2"/>
    <mergeCell ref="B3:K3"/>
    <mergeCell ref="E14:F14"/>
    <mergeCell ref="K7:K9"/>
    <mergeCell ref="C7:D7"/>
    <mergeCell ref="C8:D8"/>
    <mergeCell ref="C9:D9"/>
  </mergeCells>
  <phoneticPr fontId="2" type="noConversion"/>
  <conditionalFormatting sqref="C15:D15">
    <cfRule type="expression" dxfId="2" priority="1">
      <formula>C15=12</formula>
    </cfRule>
    <cfRule type="expression" dxfId="1" priority="2">
      <formula>C15=4</formula>
    </cfRule>
    <cfRule type="expression" dxfId="0" priority="3">
      <formula>C15=10</formula>
    </cfRule>
  </conditionalFormatting>
  <pageMargins left="0.75" right="0.75" top="1" bottom="1" header="0.5" footer="0.5"/>
  <pageSetup paperSize="9" scale="53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100-000000000000}">
          <x14:formula1>
            <xm:f>'02_코드목록'!$A$2:$A$4</xm:f>
          </x14:formula1>
          <xm:sqref>D15</xm:sqref>
        </x14:dataValidation>
        <x14:dataValidation type="list" allowBlank="1" xr:uid="{00000000-0002-0000-0100-000001000000}">
          <x14:formula1>
            <xm:f>'02_코드목록'!$B$2:$B$14</xm:f>
          </x14:formula1>
          <xm:sqref>H17</xm:sqref>
        </x14:dataValidation>
        <x14:dataValidation type="list" allowBlank="1" xr:uid="{0D061B27-2ED0-4A89-8EF3-BCF08CD5E27F}">
          <x14:formula1>
            <xm:f>'02_코드목록'!$B$2:$B$15</xm:f>
          </x14:formula1>
          <xm:sqref>H16</xm:sqref>
        </x14:dataValidation>
        <x14:dataValidation type="list" allowBlank="1" showInputMessage="1" showErrorMessage="1" xr:uid="{33E7ADC8-529F-4927-AAE9-C790AFD91F36}">
          <x14:formula1>
            <xm:f>'02_코드목록'!$H$36:$H$41</xm:f>
          </x14:formula1>
          <xm:sqref>D4</xm:sqref>
        </x14:dataValidation>
        <x14:dataValidation type="list" allowBlank="1" showInputMessage="1" showErrorMessage="1" xr:uid="{54F24218-F1A5-4C39-A88F-EBBD79DE5CE8}">
          <x14:formula1>
            <xm:f>'02_코드목록'!$L$16:$L$28</xm:f>
          </x14:formula1>
          <xm:sqref>C15</xm:sqref>
        </x14:dataValidation>
        <x14:dataValidation type="list" allowBlank="1" showInputMessage="1" showErrorMessage="1" xr:uid="{A114B589-E418-4F1F-BD4A-0BDAA8E85E85}">
          <x14:formula1>
            <xm:f>'02_코드목록'!$B$36:$B$38</xm:f>
          </x14:formula1>
          <xm:sqref>J4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M41"/>
  <sheetViews>
    <sheetView showGridLines="0" workbookViewId="0">
      <selection activeCell="L34" sqref="L16:L34"/>
    </sheetView>
  </sheetViews>
  <sheetFormatPr defaultRowHeight="16.5" x14ac:dyDescent="0.3"/>
  <cols>
    <col min="1" max="1" width="12" style="3" customWidth="1"/>
    <col min="2" max="2" width="18" style="3" customWidth="1"/>
    <col min="3" max="3" width="2" style="3" customWidth="1"/>
    <col min="4" max="4" width="19" style="3" customWidth="1"/>
    <col min="5" max="5" width="2" style="3" customWidth="1"/>
    <col min="6" max="9" width="9" style="3"/>
    <col min="10" max="10" width="17.25" style="3" bestFit="1" customWidth="1"/>
    <col min="11" max="11" width="17.25" style="3" customWidth="1"/>
    <col min="12" max="12" width="13" style="3" bestFit="1" customWidth="1"/>
    <col min="13" max="13" width="38" style="3" bestFit="1" customWidth="1"/>
    <col min="14" max="16384" width="9" style="3"/>
  </cols>
  <sheetData>
    <row r="1" spans="1:13" x14ac:dyDescent="0.3">
      <c r="A1" s="2" t="s">
        <v>4</v>
      </c>
      <c r="B1" s="2" t="s">
        <v>44</v>
      </c>
      <c r="D1" s="2" t="s">
        <v>45</v>
      </c>
      <c r="F1" s="2" t="s">
        <v>5</v>
      </c>
      <c r="G1" s="4"/>
      <c r="H1" s="4"/>
      <c r="J1" s="4" t="s">
        <v>28</v>
      </c>
      <c r="L1" s="3" t="s">
        <v>76</v>
      </c>
    </row>
    <row r="2" spans="1:13" x14ac:dyDescent="0.3">
      <c r="A2" s="4">
        <v>10</v>
      </c>
      <c r="B2" s="4" t="s">
        <v>6</v>
      </c>
      <c r="D2" s="4" t="s">
        <v>106</v>
      </c>
      <c r="F2" s="71" t="s">
        <v>36</v>
      </c>
      <c r="G2" s="72"/>
      <c r="H2" s="72"/>
      <c r="J2" s="5" t="s">
        <v>25</v>
      </c>
      <c r="K2" s="6"/>
      <c r="L2" s="4" t="s">
        <v>96</v>
      </c>
      <c r="M2" s="4" t="s">
        <v>30</v>
      </c>
    </row>
    <row r="3" spans="1:13" x14ac:dyDescent="0.3">
      <c r="A3" s="4">
        <v>4</v>
      </c>
      <c r="B3" s="4" t="s">
        <v>7</v>
      </c>
      <c r="F3" s="72"/>
      <c r="G3" s="72"/>
      <c r="H3" s="72"/>
      <c r="J3" s="5" t="s">
        <v>26</v>
      </c>
      <c r="K3" s="6"/>
      <c r="L3" s="4" t="s">
        <v>97</v>
      </c>
      <c r="M3" s="4" t="s">
        <v>31</v>
      </c>
    </row>
    <row r="4" spans="1:13" x14ac:dyDescent="0.3">
      <c r="A4" s="4">
        <v>12</v>
      </c>
      <c r="B4" s="4" t="s">
        <v>8</v>
      </c>
      <c r="F4" s="72"/>
      <c r="G4" s="72"/>
      <c r="H4" s="72"/>
      <c r="J4" s="5" t="s">
        <v>27</v>
      </c>
      <c r="K4" s="6"/>
      <c r="L4" s="4" t="s">
        <v>98</v>
      </c>
      <c r="M4" s="4" t="s">
        <v>37</v>
      </c>
    </row>
    <row r="5" spans="1:13" x14ac:dyDescent="0.3">
      <c r="B5" s="4" t="s">
        <v>9</v>
      </c>
      <c r="L5" s="4" t="s">
        <v>99</v>
      </c>
      <c r="M5" s="4" t="s">
        <v>32</v>
      </c>
    </row>
    <row r="6" spans="1:13" x14ac:dyDescent="0.3">
      <c r="B6" s="4" t="s">
        <v>10</v>
      </c>
      <c r="L6" s="4" t="s">
        <v>100</v>
      </c>
      <c r="M6" s="4" t="s">
        <v>33</v>
      </c>
    </row>
    <row r="7" spans="1:13" x14ac:dyDescent="0.3">
      <c r="B7" s="4" t="s">
        <v>11</v>
      </c>
      <c r="L7" s="4" t="s">
        <v>101</v>
      </c>
      <c r="M7" s="4" t="s">
        <v>34</v>
      </c>
    </row>
    <row r="8" spans="1:13" x14ac:dyDescent="0.3">
      <c r="B8" s="4" t="s">
        <v>12</v>
      </c>
      <c r="L8" s="4" t="s">
        <v>102</v>
      </c>
      <c r="M8" s="4" t="s">
        <v>35</v>
      </c>
    </row>
    <row r="9" spans="1:13" x14ac:dyDescent="0.3">
      <c r="B9" s="4" t="s">
        <v>13</v>
      </c>
      <c r="L9" s="4" t="s">
        <v>103</v>
      </c>
      <c r="M9" s="4" t="s">
        <v>38</v>
      </c>
    </row>
    <row r="10" spans="1:13" x14ac:dyDescent="0.3">
      <c r="B10" s="4" t="s">
        <v>14</v>
      </c>
      <c r="L10" s="4" t="s">
        <v>104</v>
      </c>
      <c r="M10" s="4" t="s">
        <v>39</v>
      </c>
    </row>
    <row r="11" spans="1:13" x14ac:dyDescent="0.3">
      <c r="B11" s="4" t="s">
        <v>15</v>
      </c>
      <c r="L11" s="4" t="s">
        <v>105</v>
      </c>
      <c r="M11" s="4" t="s">
        <v>40</v>
      </c>
    </row>
    <row r="12" spans="1:13" x14ac:dyDescent="0.3">
      <c r="B12" s="4" t="s">
        <v>16</v>
      </c>
    </row>
    <row r="13" spans="1:13" x14ac:dyDescent="0.3">
      <c r="B13" s="4" t="s">
        <v>17</v>
      </c>
    </row>
    <row r="14" spans="1:13" x14ac:dyDescent="0.3">
      <c r="B14" s="4" t="s">
        <v>18</v>
      </c>
    </row>
    <row r="15" spans="1:13" x14ac:dyDescent="0.3">
      <c r="B15" s="4" t="s">
        <v>41</v>
      </c>
      <c r="L15" s="3" t="s">
        <v>75</v>
      </c>
    </row>
    <row r="16" spans="1:13" x14ac:dyDescent="0.3">
      <c r="L16" s="12" t="s">
        <v>86</v>
      </c>
    </row>
    <row r="17" spans="11:12" x14ac:dyDescent="0.3">
      <c r="L17" s="12" t="s">
        <v>87</v>
      </c>
    </row>
    <row r="18" spans="11:12" x14ac:dyDescent="0.3">
      <c r="L18" s="12" t="s">
        <v>110</v>
      </c>
    </row>
    <row r="19" spans="11:12" x14ac:dyDescent="0.3">
      <c r="L19" s="12" t="s">
        <v>88</v>
      </c>
    </row>
    <row r="20" spans="11:12" x14ac:dyDescent="0.3">
      <c r="L20" s="12" t="s">
        <v>89</v>
      </c>
    </row>
    <row r="21" spans="11:12" x14ac:dyDescent="0.3">
      <c r="L21" s="12" t="s">
        <v>90</v>
      </c>
    </row>
    <row r="22" spans="11:12" x14ac:dyDescent="0.3">
      <c r="L22" s="12" t="s">
        <v>91</v>
      </c>
    </row>
    <row r="23" spans="11:12" x14ac:dyDescent="0.3">
      <c r="L23" s="12" t="s">
        <v>92</v>
      </c>
    </row>
    <row r="24" spans="11:12" x14ac:dyDescent="0.3">
      <c r="K24" s="3" t="s">
        <v>74</v>
      </c>
      <c r="L24" s="12" t="s">
        <v>93</v>
      </c>
    </row>
    <row r="25" spans="11:12" x14ac:dyDescent="0.3">
      <c r="L25" s="12" t="s">
        <v>14</v>
      </c>
    </row>
    <row r="26" spans="11:12" x14ac:dyDescent="0.3">
      <c r="L26" s="12" t="s">
        <v>94</v>
      </c>
    </row>
    <row r="27" spans="11:12" x14ac:dyDescent="0.3">
      <c r="L27" s="12" t="s">
        <v>27</v>
      </c>
    </row>
    <row r="28" spans="11:12" x14ac:dyDescent="0.3">
      <c r="K28" s="3" t="s">
        <v>74</v>
      </c>
      <c r="L28" s="12" t="s">
        <v>95</v>
      </c>
    </row>
    <row r="29" spans="11:12" x14ac:dyDescent="0.3">
      <c r="L29" s="12" t="s">
        <v>108</v>
      </c>
    </row>
    <row r="30" spans="11:12" x14ac:dyDescent="0.3">
      <c r="L30" s="12" t="s">
        <v>109</v>
      </c>
    </row>
    <row r="31" spans="11:12" x14ac:dyDescent="0.3">
      <c r="L31" s="12" t="s">
        <v>111</v>
      </c>
    </row>
    <row r="32" spans="11:12" x14ac:dyDescent="0.3">
      <c r="L32" s="12" t="s">
        <v>112</v>
      </c>
    </row>
    <row r="33" spans="1:12" x14ac:dyDescent="0.3">
      <c r="L33" s="12" t="s">
        <v>113</v>
      </c>
    </row>
    <row r="34" spans="1:12" x14ac:dyDescent="0.3">
      <c r="L34" s="12" t="s">
        <v>114</v>
      </c>
    </row>
    <row r="36" spans="1:12" x14ac:dyDescent="0.3">
      <c r="A36" s="8" t="s">
        <v>50</v>
      </c>
      <c r="B36" s="7" t="s">
        <v>57</v>
      </c>
      <c r="D36" s="4" t="s">
        <v>60</v>
      </c>
      <c r="E36" s="4" t="s">
        <v>61</v>
      </c>
      <c r="G36" s="4" t="s">
        <v>72</v>
      </c>
      <c r="H36" s="4" t="s">
        <v>71</v>
      </c>
      <c r="J36" s="4" t="s">
        <v>73</v>
      </c>
      <c r="K36" s="4">
        <v>92</v>
      </c>
    </row>
    <row r="37" spans="1:12" x14ac:dyDescent="0.3">
      <c r="B37" s="7" t="s">
        <v>58</v>
      </c>
      <c r="E37" s="4" t="s">
        <v>62</v>
      </c>
      <c r="H37" s="4" t="s">
        <v>70</v>
      </c>
      <c r="K37" s="4">
        <v>131</v>
      </c>
    </row>
    <row r="38" spans="1:12" x14ac:dyDescent="0.3">
      <c r="B38" s="7" t="s">
        <v>59</v>
      </c>
      <c r="E38" s="4" t="s">
        <v>63</v>
      </c>
      <c r="H38" s="11" t="s">
        <v>69</v>
      </c>
      <c r="K38" s="4">
        <v>141</v>
      </c>
    </row>
    <row r="39" spans="1:12" x14ac:dyDescent="0.3">
      <c r="E39" s="4" t="s">
        <v>64</v>
      </c>
      <c r="H39" s="4" t="s">
        <v>68</v>
      </c>
      <c r="K39" s="4">
        <v>142</v>
      </c>
    </row>
    <row r="40" spans="1:12" x14ac:dyDescent="0.3">
      <c r="E40" s="4" t="s">
        <v>65</v>
      </c>
      <c r="H40" s="4" t="s">
        <v>66</v>
      </c>
    </row>
    <row r="41" spans="1:12" x14ac:dyDescent="0.3">
      <c r="H41" s="4" t="s">
        <v>67</v>
      </c>
    </row>
  </sheetData>
  <mergeCells count="1">
    <mergeCell ref="F2:H4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병동간호사</vt:lpstr>
      <vt:lpstr>PA</vt:lpstr>
      <vt:lpstr>02_코드목록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rahee</cp:lastModifiedBy>
  <cp:lastPrinted>2026-04-05T00:11:20Z</cp:lastPrinted>
  <dcterms:created xsi:type="dcterms:W3CDTF">2026-02-27T14:01:13Z</dcterms:created>
  <dcterms:modified xsi:type="dcterms:W3CDTF">2026-04-14T15:08:47Z</dcterms:modified>
</cp:coreProperties>
</file>