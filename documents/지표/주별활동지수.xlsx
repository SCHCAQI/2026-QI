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1f1df607fbac1a/Desktop/Github/2026-QI/documents/지표/"/>
    </mc:Choice>
  </mc:AlternateContent>
  <xr:revisionPtr revIDLastSave="0" documentId="8_{A1DA1A0A-19A7-4975-A79D-A7FF1F99D0D7}" xr6:coauthVersionLast="47" xr6:coauthVersionMax="47" xr10:uidLastSave="{00000000-0000-0000-0000-000000000000}"/>
  <bookViews>
    <workbookView xWindow="-120" yWindow="-120" windowWidth="38640" windowHeight="21120" activeTab="2" xr2:uid="{0FC1208A-2CB8-4E1E-B9D0-F7D163D68827}"/>
  </bookViews>
  <sheets>
    <sheet name="표본데이터" sheetId="1" r:id="rId1"/>
    <sheet name="산출지수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10" i="1" l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</calcChain>
</file>

<file path=xl/sharedStrings.xml><?xml version="1.0" encoding="utf-8"?>
<sst xmlns="http://schemas.openxmlformats.org/spreadsheetml/2006/main" count="280" uniqueCount="53">
  <si>
    <t>1주차</t>
    <phoneticPr fontId="1" type="noConversion"/>
  </si>
  <si>
    <t>실시간 피드백</t>
    <phoneticPr fontId="1" type="noConversion"/>
  </si>
  <si>
    <t>회진내용 공유</t>
    <phoneticPr fontId="1" type="noConversion"/>
  </si>
  <si>
    <t>과</t>
    <phoneticPr fontId="1" type="noConversion"/>
  </si>
  <si>
    <t>요청</t>
    <phoneticPr fontId="1" type="noConversion"/>
  </si>
  <si>
    <t>표준 프로토콜 준수</t>
    <phoneticPr fontId="1" type="noConversion"/>
  </si>
  <si>
    <t>재확인 호출</t>
    <phoneticPr fontId="1" type="noConversion"/>
  </si>
  <si>
    <t>2주차</t>
    <phoneticPr fontId="1" type="noConversion"/>
  </si>
  <si>
    <t>3주차</t>
    <phoneticPr fontId="1" type="noConversion"/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</si>
  <si>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</si>
  <si>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</si>
  <si>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</si>
  <si>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</si>
  <si>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</si>
  <si>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</si>
  <si>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</si>
  <si>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</si>
  <si>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</si>
  <si>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</si>
  <si>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</si>
  <si>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</si>
  <si>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</si>
  <si>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Total</t>
    <phoneticPr fontId="1" type="noConversion"/>
  </si>
  <si>
    <t>17주차</t>
  </si>
  <si>
    <t>18주차</t>
  </si>
  <si>
    <t>19주차</t>
  </si>
  <si>
    <t>20주차</t>
  </si>
  <si>
    <t>21주차</t>
  </si>
  <si>
    <t>1주차(5/15~26)</t>
    <phoneticPr fontId="1" type="noConversion"/>
  </si>
  <si>
    <t>2주차(5/27~6/3)</t>
    <phoneticPr fontId="1" type="noConversion"/>
  </si>
  <si>
    <t>4주차(6/11~6/17)</t>
    <phoneticPr fontId="1" type="noConversion"/>
  </si>
  <si>
    <t>3주차(6/4~6/10)</t>
    <phoneticPr fontId="1" type="noConversion"/>
  </si>
  <si>
    <t>5주차(6/18~6/25)</t>
    <phoneticPr fontId="1" type="noConversion"/>
  </si>
  <si>
    <t>주차</t>
    <phoneticPr fontId="1" type="noConversion"/>
  </si>
  <si>
    <t>92-CS</t>
    <phoneticPr fontId="1" type="noConversion"/>
  </si>
  <si>
    <t>92-MC</t>
    <phoneticPr fontId="1" type="noConversion"/>
  </si>
  <si>
    <t>131-ENT</t>
    <phoneticPr fontId="1" type="noConversion"/>
  </si>
  <si>
    <t>131-URO</t>
    <phoneticPr fontId="1" type="noConversion"/>
  </si>
  <si>
    <t>141-단기항암</t>
    <phoneticPr fontId="1" type="noConversion"/>
  </si>
  <si>
    <t>141-MH병동</t>
    <phoneticPr fontId="1" type="noConversion"/>
  </si>
  <si>
    <t>142-MH병동</t>
    <phoneticPr fontId="1" type="noConversion"/>
  </si>
  <si>
    <t>6주차(6/25~7/1)</t>
  </si>
  <si>
    <t>6주차(6/25~7/1)</t>
    <phoneticPr fontId="1" type="noConversion"/>
  </si>
  <si>
    <t>1주차(5/15~26)</t>
  </si>
  <si>
    <t>2주차(5/27~6/3)</t>
  </si>
  <si>
    <t>3주차(6/4~6/10)</t>
  </si>
  <si>
    <t>4주차(6/11~6/17)</t>
  </si>
  <si>
    <t>5주차(6/18~6/25)</t>
  </si>
  <si>
    <t>7주차(7/2~7/8)</t>
    <phoneticPr fontId="1" type="noConversion"/>
  </si>
  <si>
    <t>8주차(7/9~7/15)</t>
    <phoneticPr fontId="1" type="noConversion"/>
  </si>
  <si>
    <t>9주차(7/16~7/22)</t>
  </si>
  <si>
    <t>9주차(7/16~7/22)</t>
    <phoneticPr fontId="1" type="noConversion"/>
  </si>
  <si>
    <t>10주차(7/23~7/29)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</si>
</sst>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산출지수!$B$4</c:f>
              <c:strCache>
                <c:ptCount val="1"/>
                <c:pt idx="0">
                  <c:v>요청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산출지수!$C$4:$W$4</c:f>
              <c:numCache>
                <c:formatCode>General</c:formatCode>
                <c:ptCount val="21"/>
                <c:pt idx="0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0-4D12-9EF9-CA2A8C20CCEE}"/>
            </c:ext>
          </c:extLst>
        </c:ser>
        <c:ser>
          <c:idx val="1"/>
          <c:order val="1"/>
          <c:tx>
            <c:strRef>
              <c:f>산출지수!$B$5</c:f>
              <c:strCache>
                <c:ptCount val="1"/>
                <c:pt idx="0">
                  <c:v>실시간 피드백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산출지수!$C$5:$W$5</c:f>
              <c:numCache>
                <c:formatCode>General</c:formatCode>
                <c:ptCount val="21"/>
                <c:pt idx="0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0-4D12-9EF9-CA2A8C20CCEE}"/>
            </c:ext>
          </c:extLst>
        </c:ser>
        <c:ser>
          <c:idx val="2"/>
          <c:order val="2"/>
          <c:tx>
            <c:strRef>
              <c:f>산출지수!$B$6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산출지수!$C$6:$W$6</c:f>
              <c:numCache>
                <c:formatCode>General</c:formatCode>
                <c:ptCount val="21"/>
                <c:pt idx="0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10-4D12-9EF9-CA2A8C20CCEE}"/>
            </c:ext>
          </c:extLst>
        </c:ser>
        <c:ser>
          <c:idx val="3"/>
          <c:order val="3"/>
          <c:tx>
            <c:strRef>
              <c:f>산출지수!$B$7</c:f>
              <c:strCache>
                <c:ptCount val="1"/>
                <c:pt idx="0">
                  <c:v>재확인 호출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산출지수!$C$7:$W$7</c:f>
              <c:numCache>
                <c:formatCode>General</c:formatCode>
                <c:ptCount val="21"/>
                <c:pt idx="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10-4D12-9EF9-CA2A8C20CCEE}"/>
            </c:ext>
          </c:extLst>
        </c:ser>
        <c:ser>
          <c:idx val="4"/>
          <c:order val="4"/>
          <c:tx>
            <c:strRef>
              <c:f>산출지수!$B$8</c:f>
              <c:strCache>
                <c:ptCount val="1"/>
                <c:pt idx="0">
                  <c:v>회진내용 공유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산출지수!$C$3:$W$3</c:f>
              <c:strCache>
                <c:ptCount val="21"/>
                <c:pt idx="0">
                  <c:v>1주차</c:v>
                </c:pt>
                <c:pt idx="1">
                  <c:v>2주차</c:v>
                </c:pt>
                <c:pt idx="2">
                  <c:v>3주차</c:v>
                </c:pt>
                <c:pt idx="3">
                  <c:v>4주차</c:v>
                </c:pt>
                <c:pt idx="4">
                  <c:v>5주차</c:v>
                </c:pt>
                <c:pt idx="5">
                  <c:v>6주차</c:v>
                </c:pt>
                <c:pt idx="6">
                  <c:v>7주차</c:v>
                </c:pt>
                <c:pt idx="7">
                  <c:v>8주차</c:v>
                </c:pt>
                <c:pt idx="8">
                  <c:v>9주차</c:v>
                </c:pt>
                <c:pt idx="9">
                  <c:v>10주차</c:v>
                </c:pt>
                <c:pt idx="10">
                  <c:v>11주차</c:v>
                </c:pt>
                <c:pt idx="11">
                  <c:v>12주차</c:v>
                </c:pt>
                <c:pt idx="12">
                  <c:v>13주차</c:v>
                </c:pt>
                <c:pt idx="13">
                  <c:v>14주차</c:v>
                </c:pt>
                <c:pt idx="14">
                  <c:v>15주차</c:v>
                </c:pt>
                <c:pt idx="15">
                  <c:v>16주차</c:v>
                </c:pt>
                <c:pt idx="16">
                  <c:v>17주차</c:v>
                </c:pt>
                <c:pt idx="17">
                  <c:v>18주차</c:v>
                </c:pt>
                <c:pt idx="18">
                  <c:v>19주차</c:v>
                </c:pt>
                <c:pt idx="19">
                  <c:v>20주차</c:v>
                </c:pt>
                <c:pt idx="20">
                  <c:v>21주차</c:v>
                </c:pt>
              </c:strCache>
            </c:strRef>
          </c:cat>
          <c:val>
            <c:numRef>
              <c:f>산출지수!$C$8:$W$8</c:f>
              <c:numCache>
                <c:formatCode>General</c:formatCode>
                <c:ptCount val="21"/>
                <c:pt idx="0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10-4D12-9EF9-CA2A8C2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995584"/>
        <c:axId val="695948672"/>
      </c:lineChart>
      <c:catAx>
        <c:axId val="63099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5948672"/>
        <c:crosses val="autoZero"/>
        <c:auto val="1"/>
        <c:lblAlgn val="ctr"/>
        <c:lblOffset val="100"/>
        <c:noMultiLvlLbl val="0"/>
      </c:catAx>
      <c:valAx>
        <c:axId val="6959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99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92-CS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14</c:v>
                </c:pt>
                <c:pt idx="5">
                  <c:v>6</c:v>
                </c:pt>
                <c:pt idx="6">
                  <c:v>15</c:v>
                </c:pt>
                <c:pt idx="7">
                  <c:v>16</c:v>
                </c:pt>
                <c:pt idx="8">
                  <c:v>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0-452E-B81D-79689BB9F1B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14</c:v>
                </c:pt>
                <c:pt idx="5">
                  <c:v>5</c:v>
                </c:pt>
                <c:pt idx="6">
                  <c:v>15</c:v>
                </c:pt>
                <c:pt idx="7">
                  <c:v>16</c:v>
                </c:pt>
                <c:pt idx="8">
                  <c:v>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0-452E-B81D-79689BB9F1B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13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0-452E-B81D-79689BB9F1B6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0-452E-B81D-79689BB9F1B6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50-452E-B81D-79689BB9F1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49296288"/>
        <c:axId val="1949290880"/>
      </c:barChart>
      <c:catAx>
        <c:axId val="194929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0880"/>
        <c:crosses val="autoZero"/>
        <c:auto val="1"/>
        <c:lblAlgn val="ctr"/>
        <c:lblOffset val="100"/>
        <c:noMultiLvlLbl val="0"/>
      </c:catAx>
      <c:valAx>
        <c:axId val="19492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92-MC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Sheet1!$H$3:$H$12</c:f>
              <c:numCache>
                <c:formatCode>General</c:formatCode>
                <c:ptCount val="10"/>
                <c:pt idx="0">
                  <c:v>12</c:v>
                </c:pt>
                <c:pt idx="1">
                  <c:v>6</c:v>
                </c:pt>
                <c:pt idx="2">
                  <c:v>6</c:v>
                </c:pt>
                <c:pt idx="3">
                  <c:v>15</c:v>
                </c:pt>
                <c:pt idx="4">
                  <c:v>10</c:v>
                </c:pt>
                <c:pt idx="5">
                  <c:v>11</c:v>
                </c:pt>
                <c:pt idx="6">
                  <c:v>18</c:v>
                </c:pt>
                <c:pt idx="7">
                  <c:v>14</c:v>
                </c:pt>
                <c:pt idx="8">
                  <c:v>5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C-4CAB-83E9-4CEBD7BD88CC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Sheet1!$I$3:$I$12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14</c:v>
                </c:pt>
                <c:pt idx="4">
                  <c:v>9</c:v>
                </c:pt>
                <c:pt idx="5">
                  <c:v>10</c:v>
                </c:pt>
                <c:pt idx="6">
                  <c:v>18</c:v>
                </c:pt>
                <c:pt idx="7">
                  <c:v>14</c:v>
                </c:pt>
                <c:pt idx="8">
                  <c:v>5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C-4CAB-83E9-4CEBD7BD88CC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Sheet1!$J$3:$J$12</c:f>
              <c:numCache>
                <c:formatCode>General</c:formatCode>
                <c:ptCount val="10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11</c:v>
                </c:pt>
                <c:pt idx="6">
                  <c:v>17</c:v>
                </c:pt>
                <c:pt idx="7">
                  <c:v>13</c:v>
                </c:pt>
                <c:pt idx="8">
                  <c:v>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C-4CAB-83E9-4CEBD7BD88CC}"/>
            </c:ext>
          </c:extLst>
        </c:ser>
        <c:ser>
          <c:idx val="3"/>
          <c:order val="3"/>
          <c:tx>
            <c:strRef>
              <c:f>Sheet1!$K$2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Sheet1!$K$3:$K$12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C-4CAB-83E9-4CEBD7BD88CC}"/>
            </c:ext>
          </c:extLst>
        </c:ser>
        <c:ser>
          <c:idx val="4"/>
          <c:order val="4"/>
          <c:tx>
            <c:strRef>
              <c:f>Sheet1!$L$2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Sheet1!$G$3:$G$12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Sheet1!$L$3:$L$12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C-4CAB-83E9-4CEBD7BD88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2473472"/>
        <c:axId val="1692464736"/>
      </c:barChart>
      <c:catAx>
        <c:axId val="169247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64736"/>
        <c:crosses val="autoZero"/>
        <c:auto val="1"/>
        <c:lblAlgn val="ctr"/>
        <c:lblOffset val="100"/>
        <c:noMultiLvlLbl val="0"/>
      </c:catAx>
      <c:valAx>
        <c:axId val="16924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131-ENT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Sheet1!$N$3:$N$12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20</c:v>
                </c:pt>
                <c:pt idx="3">
                  <c:v>34</c:v>
                </c:pt>
                <c:pt idx="4">
                  <c:v>55</c:v>
                </c:pt>
                <c:pt idx="5">
                  <c:v>28</c:v>
                </c:pt>
                <c:pt idx="6">
                  <c:v>28</c:v>
                </c:pt>
                <c:pt idx="7">
                  <c:v>31</c:v>
                </c:pt>
                <c:pt idx="8">
                  <c:v>50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B-4D60-81F8-27F0B12B656D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Sheet1!$O$3:$O$12</c:f>
              <c:numCache>
                <c:formatCode>General</c:formatCode>
                <c:ptCount val="10"/>
                <c:pt idx="0">
                  <c:v>5</c:v>
                </c:pt>
                <c:pt idx="1">
                  <c:v>2</c:v>
                </c:pt>
                <c:pt idx="2">
                  <c:v>20</c:v>
                </c:pt>
                <c:pt idx="3">
                  <c:v>32</c:v>
                </c:pt>
                <c:pt idx="4">
                  <c:v>52</c:v>
                </c:pt>
                <c:pt idx="5">
                  <c:v>26</c:v>
                </c:pt>
                <c:pt idx="6">
                  <c:v>26</c:v>
                </c:pt>
                <c:pt idx="7">
                  <c:v>28</c:v>
                </c:pt>
                <c:pt idx="8">
                  <c:v>45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B-4D60-81F8-27F0B12B656D}"/>
            </c:ext>
          </c:extLst>
        </c:ser>
        <c:ser>
          <c:idx val="2"/>
          <c:order val="2"/>
          <c:tx>
            <c:strRef>
              <c:f>Sheet1!$P$2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Sheet1!$P$3:$P$12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15</c:v>
                </c:pt>
                <c:pt idx="3">
                  <c:v>31</c:v>
                </c:pt>
                <c:pt idx="4">
                  <c:v>51</c:v>
                </c:pt>
                <c:pt idx="5">
                  <c:v>25</c:v>
                </c:pt>
                <c:pt idx="6">
                  <c:v>25</c:v>
                </c:pt>
                <c:pt idx="7">
                  <c:v>29</c:v>
                </c:pt>
                <c:pt idx="8">
                  <c:v>42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B-4D60-81F8-27F0B12B656D}"/>
            </c:ext>
          </c:extLst>
        </c:ser>
        <c:ser>
          <c:idx val="3"/>
          <c:order val="3"/>
          <c:tx>
            <c:strRef>
              <c:f>Sheet1!$Q$2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Sheet1!$Q$3:$Q$12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EB-4D60-81F8-27F0B12B656D}"/>
            </c:ext>
          </c:extLst>
        </c:ser>
        <c:ser>
          <c:idx val="4"/>
          <c:order val="4"/>
          <c:tx>
            <c:strRef>
              <c:f>Sheet1!$R$2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Sheet1!$M$3:$M$12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Sheet1!$R$3:$R$12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10</c:v>
                </c:pt>
                <c:pt idx="3">
                  <c:v>11</c:v>
                </c:pt>
                <c:pt idx="4">
                  <c:v>16</c:v>
                </c:pt>
                <c:pt idx="5">
                  <c:v>9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EB-4D60-81F8-27F0B12B65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49293376"/>
        <c:axId val="1949297120"/>
      </c:barChart>
      <c:catAx>
        <c:axId val="194929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7120"/>
        <c:crosses val="autoZero"/>
        <c:auto val="1"/>
        <c:lblAlgn val="ctr"/>
        <c:lblOffset val="100"/>
        <c:noMultiLvlLbl val="0"/>
      </c:catAx>
      <c:valAx>
        <c:axId val="19492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929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131-URO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Sheet1!$T$3:$T$12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9-4CDD-8F2D-B80DACE50B1B}"/>
            </c:ext>
          </c:extLst>
        </c:ser>
        <c:ser>
          <c:idx val="1"/>
          <c:order val="1"/>
          <c:tx>
            <c:strRef>
              <c:f>Sheet1!$U$2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Sheet1!$U$3:$U$12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9-4CDD-8F2D-B80DACE50B1B}"/>
            </c:ext>
          </c:extLst>
        </c:ser>
        <c:ser>
          <c:idx val="2"/>
          <c:order val="2"/>
          <c:tx>
            <c:strRef>
              <c:f>Sheet1!$V$2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9-4CDD-8F2D-B80DACE50B1B}"/>
            </c:ext>
          </c:extLst>
        </c:ser>
        <c:ser>
          <c:idx val="3"/>
          <c:order val="3"/>
          <c:tx>
            <c:strRef>
              <c:f>Sheet1!$W$2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39-4CDD-8F2D-B80DACE50B1B}"/>
            </c:ext>
          </c:extLst>
        </c:ser>
        <c:ser>
          <c:idx val="4"/>
          <c:order val="4"/>
          <c:tx>
            <c:strRef>
              <c:f>Sheet1!$X$2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Sheet1!$S$3:$S$12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Sheet1!$X$3:$X$12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39-4CDD-8F2D-B80DACE50B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59822992"/>
        <c:axId val="1659828400"/>
      </c:barChart>
      <c:catAx>
        <c:axId val="16598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828400"/>
        <c:crosses val="autoZero"/>
        <c:auto val="1"/>
        <c:lblAlgn val="ctr"/>
        <c:lblOffset val="100"/>
        <c:noMultiLvlLbl val="0"/>
      </c:catAx>
      <c:valAx>
        <c:axId val="16598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982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141-</a:t>
            </a:r>
            <a:r>
              <a:rPr lang="ko-KR" altLang="en-US"/>
              <a:t>단기항암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Sheet1!$Z$3:$Z$12</c:f>
              <c:numCache>
                <c:formatCode>General</c:formatCode>
                <c:ptCount val="10"/>
                <c:pt idx="0">
                  <c:v>47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  <c:pt idx="5">
                  <c:v>9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D-4FB5-BB79-24CBAD304B0C}"/>
            </c:ext>
          </c:extLst>
        </c:ser>
        <c:ser>
          <c:idx val="1"/>
          <c:order val="1"/>
          <c:tx>
            <c:strRef>
              <c:f>Sheet1!$AA$2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Sheet1!$AA$3:$AA$12</c:f>
              <c:numCache>
                <c:formatCode>General</c:formatCode>
                <c:ptCount val="10"/>
                <c:pt idx="0">
                  <c:v>43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17</c:v>
                </c:pt>
                <c:pt idx="5">
                  <c:v>9</c:v>
                </c:pt>
                <c:pt idx="6">
                  <c:v>15</c:v>
                </c:pt>
                <c:pt idx="7">
                  <c:v>16</c:v>
                </c:pt>
                <c:pt idx="8">
                  <c:v>18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D-4FB5-BB79-24CBAD304B0C}"/>
            </c:ext>
          </c:extLst>
        </c:ser>
        <c:ser>
          <c:idx val="2"/>
          <c:order val="2"/>
          <c:tx>
            <c:strRef>
              <c:f>Sheet1!$AB$2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Sheet1!$AB$3:$AB$12</c:f>
              <c:numCache>
                <c:formatCode>General</c:formatCode>
                <c:ptCount val="10"/>
                <c:pt idx="0">
                  <c:v>39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17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D-4FB5-BB79-24CBAD304B0C}"/>
            </c:ext>
          </c:extLst>
        </c:ser>
        <c:ser>
          <c:idx val="3"/>
          <c:order val="3"/>
          <c:tx>
            <c:strRef>
              <c:f>Sheet1!$AC$2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Sheet1!$AC$3:$AC$12</c:f>
              <c:numCache>
                <c:formatCode>General</c:formatCode>
                <c:ptCount val="10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D-4FB5-BB79-24CBAD304B0C}"/>
            </c:ext>
          </c:extLst>
        </c:ser>
        <c:ser>
          <c:idx val="4"/>
          <c:order val="4"/>
          <c:tx>
            <c:strRef>
              <c:f>Sheet1!$AD$2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Sheet1!$Y$3:$Y$12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Sheet1!$AD$3:$AD$12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D-4FB5-BB79-24CBAD304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92466816"/>
        <c:axId val="1692469312"/>
      </c:barChart>
      <c:catAx>
        <c:axId val="169246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69312"/>
        <c:crosses val="autoZero"/>
        <c:auto val="1"/>
        <c:lblAlgn val="ctr"/>
        <c:lblOffset val="100"/>
        <c:noMultiLvlLbl val="0"/>
      </c:catAx>
      <c:valAx>
        <c:axId val="16924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24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141-MH</a:t>
            </a:r>
            <a:r>
              <a:rPr lang="ko-KR" altLang="en-US"/>
              <a:t>병동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Sheet1!$AF$3:$AF$12</c:f>
              <c:numCache>
                <c:formatCode>General</c:formatCode>
                <c:ptCount val="10"/>
                <c:pt idx="0">
                  <c:v>27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E-4E5C-A845-81F34F113BFC}"/>
            </c:ext>
          </c:extLst>
        </c:ser>
        <c:ser>
          <c:idx val="1"/>
          <c:order val="1"/>
          <c:tx>
            <c:strRef>
              <c:f>Sheet1!$AG$2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Sheet1!$AG$3:$AG$12</c:f>
              <c:numCache>
                <c:formatCode>General</c:formatCode>
                <c:ptCount val="10"/>
                <c:pt idx="0">
                  <c:v>26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4</c:v>
                </c:pt>
                <c:pt idx="6">
                  <c:v>14</c:v>
                </c:pt>
                <c:pt idx="7">
                  <c:v>14</c:v>
                </c:pt>
                <c:pt idx="8">
                  <c:v>10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E-4E5C-A845-81F34F113BFC}"/>
            </c:ext>
          </c:extLst>
        </c:ser>
        <c:ser>
          <c:idx val="2"/>
          <c:order val="2"/>
          <c:tx>
            <c:strRef>
              <c:f>Sheet1!$AH$2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Sheet1!$AH$3:$AH$12</c:f>
              <c:numCache>
                <c:formatCode>General</c:formatCode>
                <c:ptCount val="10"/>
                <c:pt idx="0">
                  <c:v>22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11</c:v>
                </c:pt>
                <c:pt idx="5">
                  <c:v>4</c:v>
                </c:pt>
                <c:pt idx="6">
                  <c:v>14</c:v>
                </c:pt>
                <c:pt idx="7">
                  <c:v>14</c:v>
                </c:pt>
                <c:pt idx="8">
                  <c:v>4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E-4E5C-A845-81F34F113BFC}"/>
            </c:ext>
          </c:extLst>
        </c:ser>
        <c:ser>
          <c:idx val="3"/>
          <c:order val="3"/>
          <c:tx>
            <c:strRef>
              <c:f>Sheet1!$AI$2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Sheet1!$AI$3:$AI$12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2E-4E5C-A845-81F34F113BFC}"/>
            </c:ext>
          </c:extLst>
        </c:ser>
        <c:ser>
          <c:idx val="4"/>
          <c:order val="4"/>
          <c:tx>
            <c:strRef>
              <c:f>Sheet1!$AJ$2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Sheet1!$AE$3:$AE$12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Sheet1!$AJ$3:$AJ$12</c:f>
              <c:numCache>
                <c:formatCode>General</c:formatCode>
                <c:ptCount val="10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E-4E5C-A845-81F34F113B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5924976"/>
        <c:axId val="365920816"/>
      </c:barChart>
      <c:catAx>
        <c:axId val="3659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920816"/>
        <c:crosses val="autoZero"/>
        <c:auto val="1"/>
        <c:lblAlgn val="ctr"/>
        <c:lblOffset val="100"/>
        <c:noMultiLvlLbl val="0"/>
      </c:catAx>
      <c:valAx>
        <c:axId val="365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659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142-MH</a:t>
            </a:r>
            <a:r>
              <a:rPr lang="ko-KR" altLang="en-US"/>
              <a:t>병동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Sheet1!$AL$2</c:f>
              <c:strCache>
                <c:ptCount val="1"/>
                <c:pt idx="0">
                  <c:v>요청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Sheet1!$AL$3:$AL$12</c:f>
              <c:numCache>
                <c:formatCode>General</c:formatCode>
                <c:ptCount val="10"/>
                <c:pt idx="0">
                  <c:v>31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15</c:v>
                </c:pt>
                <c:pt idx="5">
                  <c:v>2</c:v>
                </c:pt>
                <c:pt idx="6">
                  <c:v>22</c:v>
                </c:pt>
                <c:pt idx="7">
                  <c:v>12</c:v>
                </c:pt>
                <c:pt idx="8">
                  <c:v>15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0-4774-B325-80E5948BDAB8}"/>
            </c:ext>
          </c:extLst>
        </c:ser>
        <c:ser>
          <c:idx val="1"/>
          <c:order val="1"/>
          <c:tx>
            <c:strRef>
              <c:f>Sheet1!$AM$2</c:f>
              <c:strCache>
                <c:ptCount val="1"/>
                <c:pt idx="0">
                  <c:v>실시간 피드백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Sheet1!$AM$3:$AM$12</c:f>
              <c:numCache>
                <c:formatCode>General</c:formatCode>
                <c:ptCount val="10"/>
                <c:pt idx="0">
                  <c:v>30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15</c:v>
                </c:pt>
                <c:pt idx="5">
                  <c:v>2</c:v>
                </c:pt>
                <c:pt idx="6">
                  <c:v>22</c:v>
                </c:pt>
                <c:pt idx="7">
                  <c:v>12</c:v>
                </c:pt>
                <c:pt idx="8">
                  <c:v>14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0-4774-B325-80E5948BDAB8}"/>
            </c:ext>
          </c:extLst>
        </c:ser>
        <c:ser>
          <c:idx val="2"/>
          <c:order val="2"/>
          <c:tx>
            <c:strRef>
              <c:f>Sheet1!$AN$2</c:f>
              <c:strCache>
                <c:ptCount val="1"/>
                <c:pt idx="0">
                  <c:v>표준 프로토콜 준수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Sheet1!$AN$3:$AN$12</c:f>
              <c:numCache>
                <c:formatCode>General</c:formatCode>
                <c:ptCount val="10"/>
                <c:pt idx="0">
                  <c:v>27</c:v>
                </c:pt>
                <c:pt idx="1">
                  <c:v>8</c:v>
                </c:pt>
                <c:pt idx="2">
                  <c:v>12</c:v>
                </c:pt>
                <c:pt idx="3">
                  <c:v>15</c:v>
                </c:pt>
                <c:pt idx="4">
                  <c:v>15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0-4774-B325-80E5948BDAB8}"/>
            </c:ext>
          </c:extLst>
        </c:ser>
        <c:ser>
          <c:idx val="3"/>
          <c:order val="3"/>
          <c:tx>
            <c:strRef>
              <c:f>Sheet1!$AO$2</c:f>
              <c:strCache>
                <c:ptCount val="1"/>
                <c:pt idx="0">
                  <c:v>재확인 호출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Sheet1!$AO$3:$AO$12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0-4774-B325-80E5948BDAB8}"/>
            </c:ext>
          </c:extLst>
        </c:ser>
        <c:ser>
          <c:idx val="4"/>
          <c:order val="4"/>
          <c:tx>
            <c:strRef>
              <c:f>Sheet1!$AP$2</c:f>
              <c:strCache>
                <c:ptCount val="1"/>
                <c:pt idx="0">
                  <c:v>회진내용 공유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Sheet1!$AK$3:$AK$12</c:f>
              <c:strCache>
                <c:ptCount val="10"/>
                <c:pt idx="0">
                  <c:v>1주차(5/15~26)</c:v>
                </c:pt>
                <c:pt idx="1">
                  <c:v>2주차(5/27~6/3)</c:v>
                </c:pt>
                <c:pt idx="2">
                  <c:v>3주차(6/4~6/10)</c:v>
                </c:pt>
                <c:pt idx="3">
                  <c:v>4주차(6/11~6/17)</c:v>
                </c:pt>
                <c:pt idx="4">
                  <c:v>5주차(6/18~6/25)</c:v>
                </c:pt>
                <c:pt idx="5">
                  <c:v>6주차(6/25~7/1)</c:v>
                </c:pt>
                <c:pt idx="6">
                  <c:v>7주차(7/2~7/8)</c:v>
                </c:pt>
                <c:pt idx="7">
                  <c:v>8주차(7/9~7/15)</c:v>
                </c:pt>
                <c:pt idx="8">
                  <c:v>9주차(7/16~7/22)</c:v>
                </c:pt>
                <c:pt idx="9">
                  <c:v>10주차(7/23~7/29)</c:v>
                </c:pt>
              </c:strCache>
            </c:strRef>
          </c:cat>
          <c:val>
            <c:numRef>
              <c:f>Sheet1!$AP$3:$AP$12</c:f>
              <c:numCache>
                <c:formatCode>General</c:formatCode>
                <c:ptCount val="10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10-4774-B325-80E5948BD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3627632"/>
        <c:axId val="373616816"/>
      </c:barChart>
      <c:catAx>
        <c:axId val="37362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616816"/>
        <c:crosses val="autoZero"/>
        <c:auto val="1"/>
        <c:lblAlgn val="ctr"/>
        <c:lblOffset val="100"/>
        <c:noMultiLvlLbl val="0"/>
      </c:catAx>
      <c:valAx>
        <c:axId val="37361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62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10</xdr:row>
      <xdr:rowOff>9525</xdr:rowOff>
    </xdr:from>
    <xdr:to>
      <xdr:col>22</xdr:col>
      <xdr:colOff>552449</xdr:colOff>
      <xdr:row>39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9810BDA-77D5-4EDA-8F53-A7D14D405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193301</xdr:rowOff>
    </xdr:from>
    <xdr:to>
      <xdr:col>6</xdr:col>
      <xdr:colOff>31097</xdr:colOff>
      <xdr:row>38</xdr:row>
      <xdr:rowOff>78441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A2E2232-E177-4937-9ED9-AC2B442B0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266979</xdr:colOff>
      <xdr:row>13</xdr:row>
      <xdr:rowOff>28575</xdr:rowOff>
    </xdr:from>
    <xdr:to>
      <xdr:col>11</xdr:col>
      <xdr:colOff>152679</xdr:colOff>
      <xdr:row>36</xdr:row>
      <xdr:rowOff>123265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50F4E4E-44D2-4693-B275-75C19EE99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280987</xdr:colOff>
      <xdr:row>13</xdr:row>
      <xdr:rowOff>38100</xdr:rowOff>
    </xdr:from>
    <xdr:to>
      <xdr:col>17</xdr:col>
      <xdr:colOff>166687</xdr:colOff>
      <xdr:row>36</xdr:row>
      <xdr:rowOff>134471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519895E-F16C-4B15-B45F-1202CFF6E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223837</xdr:colOff>
      <xdr:row>13</xdr:row>
      <xdr:rowOff>66675</xdr:rowOff>
    </xdr:from>
    <xdr:to>
      <xdr:col>23</xdr:col>
      <xdr:colOff>109537</xdr:colOff>
      <xdr:row>36</xdr:row>
      <xdr:rowOff>112059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621891E9-CEE8-4939-A226-B7C9C030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300037</xdr:colOff>
      <xdr:row>13</xdr:row>
      <xdr:rowOff>66675</xdr:rowOff>
    </xdr:from>
    <xdr:to>
      <xdr:col>29</xdr:col>
      <xdr:colOff>185737</xdr:colOff>
      <xdr:row>36</xdr:row>
      <xdr:rowOff>89648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655DD90C-60FA-4685-B6F0-9A7C530D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409012</xdr:colOff>
      <xdr:row>13</xdr:row>
      <xdr:rowOff>62752</xdr:rowOff>
    </xdr:from>
    <xdr:to>
      <xdr:col>37</xdr:col>
      <xdr:colOff>201705</xdr:colOff>
      <xdr:row>36</xdr:row>
      <xdr:rowOff>78442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700F945-1390-4007-9133-7B57A3412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386602</xdr:colOff>
      <xdr:row>13</xdr:row>
      <xdr:rowOff>40340</xdr:rowOff>
    </xdr:from>
    <xdr:to>
      <xdr:col>46</xdr:col>
      <xdr:colOff>168087</xdr:colOff>
      <xdr:row>36</xdr:row>
      <xdr:rowOff>11205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C5C6A29-8567-4874-964B-F92310378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0907-5E58-4792-ADE6-C5015F3C2AB4}">
  <dimension ref="A1:DB10"/>
  <sheetViews>
    <sheetView zoomScale="115" zoomScaleNormal="115" workbookViewId="0">
      <pane xSplit="1" ySplit="2" topLeftCell="AA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6.5" x14ac:dyDescent="0.3"/>
  <cols>
    <col min="1" max="1" width="13" style="4" bestFit="1" customWidth="1"/>
    <col min="2" max="2" width="5.25" style="4" bestFit="1" customWidth="1"/>
    <col min="3" max="3" width="13.75" style="4" bestFit="1" customWidth="1"/>
    <col min="4" max="4" width="18.625" style="4" bestFit="1" customWidth="1"/>
    <col min="5" max="5" width="11.625" style="4" bestFit="1" customWidth="1"/>
    <col min="6" max="6" width="13.75" style="4" bestFit="1" customWidth="1"/>
    <col min="7" max="7" width="5.25" style="4" bestFit="1" customWidth="1"/>
    <col min="8" max="8" width="13.75" style="4" bestFit="1" customWidth="1"/>
    <col min="9" max="9" width="18.625" style="4" bestFit="1" customWidth="1"/>
    <col min="10" max="10" width="11.625" style="4" bestFit="1" customWidth="1"/>
    <col min="11" max="11" width="13.75" style="4" bestFit="1" customWidth="1"/>
    <col min="12" max="12" width="5.25" style="4" bestFit="1" customWidth="1"/>
    <col min="13" max="13" width="13.75" style="4" bestFit="1" customWidth="1"/>
    <col min="14" max="14" width="18.625" style="4" bestFit="1" customWidth="1"/>
    <col min="15" max="15" width="11.625" style="4" bestFit="1" customWidth="1"/>
    <col min="16" max="16" width="13.75" style="4" bestFit="1" customWidth="1"/>
    <col min="17" max="17" width="5.25" style="4" bestFit="1" customWidth="1"/>
    <col min="18" max="18" width="13.75" style="4" bestFit="1" customWidth="1"/>
    <col min="19" max="19" width="18.625" style="4" bestFit="1" customWidth="1"/>
    <col min="20" max="20" width="11.625" style="4" bestFit="1" customWidth="1"/>
    <col min="21" max="21" width="13.75" style="4" bestFit="1" customWidth="1"/>
    <col min="22" max="22" width="5.25" style="4" bestFit="1" customWidth="1"/>
    <col min="23" max="23" width="13.75" style="4" bestFit="1" customWidth="1"/>
    <col min="24" max="24" width="18.625" style="4" bestFit="1" customWidth="1"/>
    <col min="25" max="25" width="11.625" style="4" bestFit="1" customWidth="1"/>
    <col min="26" max="26" width="13.75" style="4" bestFit="1" customWidth="1"/>
    <col min="27" max="27" width="5.25" style="4" bestFit="1" customWidth="1"/>
    <col min="28" max="28" width="13.75" style="4" bestFit="1" customWidth="1"/>
    <col min="29" max="29" width="18.625" style="4" bestFit="1" customWidth="1"/>
    <col min="30" max="30" width="11.625" style="4" bestFit="1" customWidth="1"/>
    <col min="31" max="31" width="13.75" style="4" bestFit="1" customWidth="1"/>
    <col min="32" max="32" width="5.25" style="4" bestFit="1" customWidth="1"/>
    <col min="33" max="33" width="13.75" style="4" bestFit="1" customWidth="1"/>
    <col min="34" max="34" width="18.625" style="4" bestFit="1" customWidth="1"/>
    <col min="35" max="35" width="11.625" style="4" bestFit="1" customWidth="1"/>
    <col min="36" max="36" width="13.75" style="4" bestFit="1" customWidth="1"/>
    <col min="37" max="37" width="5.25" style="4" bestFit="1" customWidth="1"/>
    <col min="38" max="38" width="13.75" style="4" bestFit="1" customWidth="1"/>
    <col min="39" max="39" width="18.625" style="4" bestFit="1" customWidth="1"/>
    <col min="40" max="40" width="11.625" style="4" bestFit="1" customWidth="1"/>
    <col min="41" max="41" width="13.75" style="4" bestFit="1" customWidth="1"/>
    <col min="42" max="42" width="5.25" style="4" bestFit="1" customWidth="1"/>
    <col min="43" max="43" width="13.75" style="4" bestFit="1" customWidth="1"/>
    <col min="44" max="44" width="18.625" style="4" bestFit="1" customWidth="1"/>
    <col min="45" max="45" width="11.625" style="4" bestFit="1" customWidth="1"/>
    <col min="46" max="46" width="13.75" style="4" bestFit="1" customWidth="1"/>
    <col min="47" max="47" width="5.25" style="4" bestFit="1" customWidth="1"/>
    <col min="48" max="48" width="13.75" style="4" bestFit="1" customWidth="1"/>
    <col min="49" max="49" width="18.625" style="4" bestFit="1" customWidth="1"/>
    <col min="50" max="50" width="11.625" style="4" bestFit="1" customWidth="1"/>
    <col min="51" max="51" width="13.75" style="4" bestFit="1" customWidth="1"/>
    <col min="52" max="52" width="5.25" style="4" bestFit="1" customWidth="1"/>
    <col min="53" max="53" width="13.75" style="4" bestFit="1" customWidth="1"/>
    <col min="54" max="54" width="18.625" style="4" bestFit="1" customWidth="1"/>
    <col min="55" max="55" width="11.625" style="4" bestFit="1" customWidth="1"/>
    <col min="56" max="56" width="13.75" style="4" bestFit="1" customWidth="1"/>
    <col min="57" max="57" width="5.25" style="4" bestFit="1" customWidth="1"/>
    <col min="58" max="58" width="13.75" style="4" bestFit="1" customWidth="1"/>
    <col min="59" max="59" width="18.625" style="4" bestFit="1" customWidth="1"/>
    <col min="60" max="60" width="11.625" style="4" bestFit="1" customWidth="1"/>
    <col min="61" max="61" width="13.75" style="4" bestFit="1" customWidth="1"/>
    <col min="62" max="62" width="5.25" style="4" bestFit="1" customWidth="1"/>
    <col min="63" max="63" width="13.75" style="4" bestFit="1" customWidth="1"/>
    <col min="64" max="64" width="18.625" style="4" bestFit="1" customWidth="1"/>
    <col min="65" max="65" width="11.625" style="4" bestFit="1" customWidth="1"/>
    <col min="66" max="66" width="13.75" style="4" bestFit="1" customWidth="1"/>
    <col min="67" max="67" width="5.25" style="4" bestFit="1" customWidth="1"/>
    <col min="68" max="68" width="13.75" style="4" bestFit="1" customWidth="1"/>
    <col min="69" max="69" width="18.625" style="4" bestFit="1" customWidth="1"/>
    <col min="70" max="70" width="11.625" style="4" bestFit="1" customWidth="1"/>
    <col min="71" max="71" width="13.75" style="4" bestFit="1" customWidth="1"/>
    <col min="72" max="72" width="5.25" style="4" bestFit="1" customWidth="1"/>
    <col min="73" max="73" width="13.75" style="4" bestFit="1" customWidth="1"/>
    <col min="74" max="74" width="18.625" style="4" bestFit="1" customWidth="1"/>
    <col min="75" max="75" width="11.625" style="4" bestFit="1" customWidth="1"/>
    <col min="76" max="76" width="13.75" style="4" bestFit="1" customWidth="1"/>
    <col min="77" max="77" width="5.25" style="4" bestFit="1" customWidth="1"/>
    <col min="78" max="78" width="13.75" style="4" bestFit="1" customWidth="1"/>
    <col min="79" max="79" width="18.625" style="4" bestFit="1" customWidth="1"/>
    <col min="80" max="80" width="11.625" style="4" bestFit="1" customWidth="1"/>
    <col min="81" max="81" width="13.75" style="4" bestFit="1" customWidth="1"/>
    <col min="82" max="82" width="5.25" style="4" bestFit="1" customWidth="1"/>
    <col min="83" max="83" width="13.75" style="4" bestFit="1" customWidth="1"/>
    <col min="84" max="84" width="18.625" style="4" bestFit="1" customWidth="1"/>
    <col min="85" max="85" width="11.625" style="4" bestFit="1" customWidth="1"/>
    <col min="86" max="86" width="13.75" style="4" bestFit="1" customWidth="1"/>
    <col min="87" max="87" width="5.25" style="4" bestFit="1" customWidth="1"/>
    <col min="88" max="88" width="13.75" style="4" bestFit="1" customWidth="1"/>
    <col min="89" max="89" width="18.625" style="4" bestFit="1" customWidth="1"/>
    <col min="90" max="90" width="11.625" style="4" bestFit="1" customWidth="1"/>
    <col min="91" max="91" width="13.75" style="4" bestFit="1" customWidth="1"/>
    <col min="92" max="92" width="5.25" style="4" bestFit="1" customWidth="1"/>
    <col min="93" max="93" width="13.75" style="4" bestFit="1" customWidth="1"/>
    <col min="94" max="94" width="18.625" style="4" bestFit="1" customWidth="1"/>
    <col min="95" max="95" width="11.625" style="4" bestFit="1" customWidth="1"/>
    <col min="96" max="96" width="13.75" style="4" bestFit="1" customWidth="1"/>
    <col min="97" max="97" width="5.25" style="4" bestFit="1" customWidth="1"/>
    <col min="98" max="98" width="13.75" style="4" bestFit="1" customWidth="1"/>
    <col min="99" max="99" width="18.625" style="4" bestFit="1" customWidth="1"/>
    <col min="100" max="100" width="11.625" style="4" bestFit="1" customWidth="1"/>
    <col min="101" max="101" width="13.75" style="4" bestFit="1" customWidth="1"/>
    <col min="102" max="102" width="5.25" style="4" bestFit="1" customWidth="1"/>
    <col min="103" max="103" width="13.75" style="4" bestFit="1" customWidth="1"/>
    <col min="104" max="104" width="18.625" style="4" bestFit="1" customWidth="1"/>
    <col min="105" max="105" width="11.625" style="4" bestFit="1" customWidth="1"/>
    <col min="106" max="106" width="13.75" style="4" bestFit="1" customWidth="1"/>
    <col min="107" max="16384" width="9" style="4"/>
  </cols>
  <sheetData>
    <row r="1" spans="1:106" x14ac:dyDescent="0.3">
      <c r="A1" s="3"/>
      <c r="B1" s="14" t="s">
        <v>28</v>
      </c>
      <c r="C1" s="14"/>
      <c r="D1" s="14"/>
      <c r="E1" s="14"/>
      <c r="F1" s="14"/>
      <c r="G1" s="14" t="s">
        <v>29</v>
      </c>
      <c r="H1" s="14"/>
      <c r="I1" s="14"/>
      <c r="J1" s="14"/>
      <c r="K1" s="14"/>
      <c r="L1" s="14" t="s">
        <v>31</v>
      </c>
      <c r="M1" s="14"/>
      <c r="N1" s="14"/>
      <c r="O1" s="14"/>
      <c r="P1" s="14"/>
      <c r="Q1" s="14" t="s">
        <v>30</v>
      </c>
      <c r="R1" s="14"/>
      <c r="S1" s="14"/>
      <c r="T1" s="14"/>
      <c r="U1" s="14"/>
      <c r="V1" s="14" t="s">
        <v>32</v>
      </c>
      <c r="W1" s="14"/>
      <c r="X1" s="14"/>
      <c r="Y1" s="14"/>
      <c r="Z1" s="14"/>
      <c r="AA1" s="14" t="s">
        <v>11</v>
      </c>
      <c r="AB1" s="14"/>
      <c r="AC1" s="14"/>
      <c r="AD1" s="14"/>
      <c r="AE1" s="14"/>
      <c r="AF1" s="14" t="s">
        <v>12</v>
      </c>
      <c r="AG1" s="14"/>
      <c r="AH1" s="14"/>
      <c r="AI1" s="14"/>
      <c r="AJ1" s="14"/>
      <c r="AK1" s="14" t="s">
        <v>13</v>
      </c>
      <c r="AL1" s="14"/>
      <c r="AM1" s="14"/>
      <c r="AN1" s="14"/>
      <c r="AO1" s="14"/>
      <c r="AP1" s="14" t="s">
        <v>14</v>
      </c>
      <c r="AQ1" s="14"/>
      <c r="AR1" s="14"/>
      <c r="AS1" s="14"/>
      <c r="AT1" s="14"/>
      <c r="AU1" s="14" t="s">
        <v>15</v>
      </c>
      <c r="AV1" s="14"/>
      <c r="AW1" s="14"/>
      <c r="AX1" s="14"/>
      <c r="AY1" s="14"/>
      <c r="AZ1" s="14" t="s">
        <v>16</v>
      </c>
      <c r="BA1" s="14"/>
      <c r="BB1" s="14"/>
      <c r="BC1" s="14"/>
      <c r="BD1" s="14"/>
      <c r="BE1" s="14" t="s">
        <v>17</v>
      </c>
      <c r="BF1" s="14"/>
      <c r="BG1" s="14"/>
      <c r="BH1" s="14"/>
      <c r="BI1" s="14"/>
      <c r="BJ1" s="14" t="s">
        <v>18</v>
      </c>
      <c r="BK1" s="14"/>
      <c r="BL1" s="14"/>
      <c r="BM1" s="14"/>
      <c r="BN1" s="14"/>
      <c r="BO1" s="14" t="s">
        <v>19</v>
      </c>
      <c r="BP1" s="14"/>
      <c r="BQ1" s="14"/>
      <c r="BR1" s="14"/>
      <c r="BS1" s="14"/>
      <c r="BT1" s="14" t="s">
        <v>20</v>
      </c>
      <c r="BU1" s="14"/>
      <c r="BV1" s="14"/>
      <c r="BW1" s="14"/>
      <c r="BX1" s="14"/>
      <c r="BY1" s="14" t="s">
        <v>21</v>
      </c>
      <c r="BZ1" s="14"/>
      <c r="CA1" s="14"/>
      <c r="CB1" s="14"/>
      <c r="CC1" s="14"/>
      <c r="CD1" s="14" t="s">
        <v>23</v>
      </c>
      <c r="CE1" s="14"/>
      <c r="CF1" s="14"/>
      <c r="CG1" s="14"/>
      <c r="CH1" s="14"/>
      <c r="CI1" s="14" t="s">
        <v>24</v>
      </c>
      <c r="CJ1" s="14"/>
      <c r="CK1" s="14"/>
      <c r="CL1" s="14"/>
      <c r="CM1" s="14"/>
      <c r="CN1" s="14" t="s">
        <v>25</v>
      </c>
      <c r="CO1" s="14"/>
      <c r="CP1" s="14"/>
      <c r="CQ1" s="14"/>
      <c r="CR1" s="14"/>
      <c r="CS1" s="14" t="s">
        <v>26</v>
      </c>
      <c r="CT1" s="14"/>
      <c r="CU1" s="14"/>
      <c r="CV1" s="14"/>
      <c r="CW1" s="14"/>
      <c r="CX1" s="14" t="s">
        <v>27</v>
      </c>
      <c r="CY1" s="14"/>
      <c r="CZ1" s="14"/>
      <c r="DA1" s="14"/>
      <c r="DB1" s="14"/>
    </row>
    <row r="2" spans="1:106" s="5" customFormat="1" x14ac:dyDescent="0.3">
      <c r="A2" s="6" t="s">
        <v>3</v>
      </c>
      <c r="B2" s="7" t="s">
        <v>4</v>
      </c>
      <c r="C2" s="6" t="s">
        <v>1</v>
      </c>
      <c r="D2" s="6" t="s">
        <v>5</v>
      </c>
      <c r="E2" s="6" t="s">
        <v>6</v>
      </c>
      <c r="F2" s="6" t="s">
        <v>2</v>
      </c>
      <c r="G2" s="7" t="s">
        <v>4</v>
      </c>
      <c r="H2" s="6" t="s">
        <v>1</v>
      </c>
      <c r="I2" s="6" t="s">
        <v>5</v>
      </c>
      <c r="J2" s="6" t="s">
        <v>6</v>
      </c>
      <c r="K2" s="6" t="s">
        <v>2</v>
      </c>
      <c r="L2" s="7" t="s">
        <v>4</v>
      </c>
      <c r="M2" s="6" t="s">
        <v>1</v>
      </c>
      <c r="N2" s="6" t="s">
        <v>5</v>
      </c>
      <c r="O2" s="6" t="s">
        <v>6</v>
      </c>
      <c r="P2" s="6" t="s">
        <v>2</v>
      </c>
      <c r="Q2" s="7" t="s">
        <v>4</v>
      </c>
      <c r="R2" s="6" t="s">
        <v>1</v>
      </c>
      <c r="S2" s="6" t="s">
        <v>5</v>
      </c>
      <c r="T2" s="6" t="s">
        <v>6</v>
      </c>
      <c r="U2" s="6" t="s">
        <v>2</v>
      </c>
      <c r="V2" s="7" t="s">
        <v>4</v>
      </c>
      <c r="W2" s="6" t="s">
        <v>1</v>
      </c>
      <c r="X2" s="6" t="s">
        <v>5</v>
      </c>
      <c r="Y2" s="6" t="s">
        <v>6</v>
      </c>
      <c r="Z2" s="6" t="s">
        <v>2</v>
      </c>
      <c r="AA2" s="7" t="s">
        <v>4</v>
      </c>
      <c r="AB2" s="6" t="s">
        <v>1</v>
      </c>
      <c r="AC2" s="6" t="s">
        <v>5</v>
      </c>
      <c r="AD2" s="6" t="s">
        <v>6</v>
      </c>
      <c r="AE2" s="6" t="s">
        <v>2</v>
      </c>
      <c r="AF2" s="7" t="s">
        <v>4</v>
      </c>
      <c r="AG2" s="6" t="s">
        <v>1</v>
      </c>
      <c r="AH2" s="6" t="s">
        <v>5</v>
      </c>
      <c r="AI2" s="6" t="s">
        <v>6</v>
      </c>
      <c r="AJ2" s="6" t="s">
        <v>2</v>
      </c>
      <c r="AK2" s="7" t="s">
        <v>4</v>
      </c>
      <c r="AL2" s="6" t="s">
        <v>1</v>
      </c>
      <c r="AM2" s="6" t="s">
        <v>5</v>
      </c>
      <c r="AN2" s="6" t="s">
        <v>6</v>
      </c>
      <c r="AO2" s="6" t="s">
        <v>2</v>
      </c>
      <c r="AP2" s="7" t="s">
        <v>4</v>
      </c>
      <c r="AQ2" s="6" t="s">
        <v>1</v>
      </c>
      <c r="AR2" s="6" t="s">
        <v>5</v>
      </c>
      <c r="AS2" s="6" t="s">
        <v>6</v>
      </c>
      <c r="AT2" s="6" t="s">
        <v>2</v>
      </c>
      <c r="AU2" s="7" t="s">
        <v>4</v>
      </c>
      <c r="AV2" s="6" t="s">
        <v>1</v>
      </c>
      <c r="AW2" s="6" t="s">
        <v>5</v>
      </c>
      <c r="AX2" s="6" t="s">
        <v>6</v>
      </c>
      <c r="AY2" s="6" t="s">
        <v>2</v>
      </c>
      <c r="AZ2" s="7" t="s">
        <v>4</v>
      </c>
      <c r="BA2" s="6" t="s">
        <v>1</v>
      </c>
      <c r="BB2" s="6" t="s">
        <v>5</v>
      </c>
      <c r="BC2" s="6" t="s">
        <v>6</v>
      </c>
      <c r="BD2" s="6" t="s">
        <v>2</v>
      </c>
      <c r="BE2" s="7" t="s">
        <v>4</v>
      </c>
      <c r="BF2" s="6" t="s">
        <v>1</v>
      </c>
      <c r="BG2" s="6" t="s">
        <v>5</v>
      </c>
      <c r="BH2" s="6" t="s">
        <v>6</v>
      </c>
      <c r="BI2" s="6" t="s">
        <v>2</v>
      </c>
      <c r="BJ2" s="7" t="s">
        <v>4</v>
      </c>
      <c r="BK2" s="6" t="s">
        <v>1</v>
      </c>
      <c r="BL2" s="6" t="s">
        <v>5</v>
      </c>
      <c r="BM2" s="6" t="s">
        <v>6</v>
      </c>
      <c r="BN2" s="6" t="s">
        <v>2</v>
      </c>
      <c r="BO2" s="7" t="s">
        <v>4</v>
      </c>
      <c r="BP2" s="6" t="s">
        <v>1</v>
      </c>
      <c r="BQ2" s="6" t="s">
        <v>5</v>
      </c>
      <c r="BR2" s="6" t="s">
        <v>6</v>
      </c>
      <c r="BS2" s="6" t="s">
        <v>2</v>
      </c>
      <c r="BT2" s="7" t="s">
        <v>4</v>
      </c>
      <c r="BU2" s="6" t="s">
        <v>1</v>
      </c>
      <c r="BV2" s="6" t="s">
        <v>5</v>
      </c>
      <c r="BW2" s="6" t="s">
        <v>6</v>
      </c>
      <c r="BX2" s="6" t="s">
        <v>2</v>
      </c>
      <c r="BY2" s="7" t="s">
        <v>4</v>
      </c>
      <c r="BZ2" s="6" t="s">
        <v>1</v>
      </c>
      <c r="CA2" s="6" t="s">
        <v>5</v>
      </c>
      <c r="CB2" s="6" t="s">
        <v>6</v>
      </c>
      <c r="CC2" s="6" t="s">
        <v>2</v>
      </c>
      <c r="CD2" s="7" t="s">
        <v>4</v>
      </c>
      <c r="CE2" s="6" t="s">
        <v>1</v>
      </c>
      <c r="CF2" s="6" t="s">
        <v>5</v>
      </c>
      <c r="CG2" s="6" t="s">
        <v>6</v>
      </c>
      <c r="CH2" s="6" t="s">
        <v>2</v>
      </c>
      <c r="CI2" s="7" t="s">
        <v>4</v>
      </c>
      <c r="CJ2" s="6" t="s">
        <v>1</v>
      </c>
      <c r="CK2" s="6" t="s">
        <v>5</v>
      </c>
      <c r="CL2" s="6" t="s">
        <v>6</v>
      </c>
      <c r="CM2" s="6" t="s">
        <v>2</v>
      </c>
      <c r="CN2" s="7" t="s">
        <v>4</v>
      </c>
      <c r="CO2" s="6" t="s">
        <v>1</v>
      </c>
      <c r="CP2" s="6" t="s">
        <v>5</v>
      </c>
      <c r="CQ2" s="6" t="s">
        <v>6</v>
      </c>
      <c r="CR2" s="6" t="s">
        <v>2</v>
      </c>
      <c r="CS2" s="7" t="s">
        <v>4</v>
      </c>
      <c r="CT2" s="6" t="s">
        <v>1</v>
      </c>
      <c r="CU2" s="6" t="s">
        <v>5</v>
      </c>
      <c r="CV2" s="6" t="s">
        <v>6</v>
      </c>
      <c r="CW2" s="6" t="s">
        <v>2</v>
      </c>
      <c r="CX2" s="7" t="s">
        <v>4</v>
      </c>
      <c r="CY2" s="6" t="s">
        <v>1</v>
      </c>
      <c r="CZ2" s="6" t="s">
        <v>5</v>
      </c>
      <c r="DA2" s="6" t="s">
        <v>6</v>
      </c>
      <c r="DB2" s="6" t="s">
        <v>2</v>
      </c>
    </row>
    <row r="3" spans="1:106" s="9" customFormat="1" x14ac:dyDescent="0.3">
      <c r="A3" s="8" t="s">
        <v>34</v>
      </c>
      <c r="B3" s="8">
        <v>10</v>
      </c>
      <c r="C3" s="8">
        <v>4</v>
      </c>
      <c r="D3" s="8">
        <v>8</v>
      </c>
      <c r="E3" s="8">
        <v>1</v>
      </c>
      <c r="F3" s="8">
        <v>0</v>
      </c>
      <c r="G3" s="8">
        <v>4</v>
      </c>
      <c r="H3" s="8">
        <v>4</v>
      </c>
      <c r="I3" s="8">
        <v>4</v>
      </c>
      <c r="J3" s="8">
        <v>1</v>
      </c>
      <c r="K3" s="8">
        <v>1</v>
      </c>
      <c r="L3" s="8">
        <v>4</v>
      </c>
      <c r="M3" s="8">
        <v>4</v>
      </c>
      <c r="N3" s="8">
        <v>4</v>
      </c>
      <c r="O3" s="8">
        <v>1</v>
      </c>
      <c r="P3" s="8">
        <v>1</v>
      </c>
      <c r="Q3" s="8">
        <v>13</v>
      </c>
      <c r="R3" s="8">
        <v>13</v>
      </c>
      <c r="S3" s="8">
        <v>13</v>
      </c>
      <c r="T3" s="8">
        <v>3</v>
      </c>
      <c r="U3" s="8">
        <v>3</v>
      </c>
      <c r="V3" s="8">
        <v>14</v>
      </c>
      <c r="W3" s="8">
        <v>14</v>
      </c>
      <c r="X3" s="8">
        <v>13</v>
      </c>
      <c r="Y3" s="8">
        <v>2</v>
      </c>
      <c r="Z3" s="8">
        <v>3</v>
      </c>
      <c r="AA3" s="8">
        <v>6</v>
      </c>
      <c r="AB3" s="8">
        <v>5</v>
      </c>
      <c r="AC3" s="8">
        <v>5</v>
      </c>
      <c r="AD3" s="8">
        <v>1</v>
      </c>
      <c r="AE3" s="8">
        <v>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</row>
    <row r="4" spans="1:106" x14ac:dyDescent="0.3">
      <c r="A4" s="3" t="s">
        <v>35</v>
      </c>
      <c r="B4" s="3">
        <v>12</v>
      </c>
      <c r="C4" s="3">
        <v>5</v>
      </c>
      <c r="D4" s="3">
        <v>10</v>
      </c>
      <c r="E4" s="3">
        <v>1</v>
      </c>
      <c r="F4" s="3">
        <v>1</v>
      </c>
      <c r="G4" s="3">
        <v>6</v>
      </c>
      <c r="H4" s="3">
        <v>5</v>
      </c>
      <c r="I4" s="3">
        <v>4</v>
      </c>
      <c r="J4" s="3">
        <v>1</v>
      </c>
      <c r="K4" s="3">
        <v>0</v>
      </c>
      <c r="L4" s="3">
        <v>6</v>
      </c>
      <c r="M4" s="3">
        <v>5</v>
      </c>
      <c r="N4" s="3">
        <v>4</v>
      </c>
      <c r="O4" s="3">
        <v>2</v>
      </c>
      <c r="P4" s="3">
        <v>0</v>
      </c>
      <c r="Q4" s="3">
        <v>15</v>
      </c>
      <c r="R4" s="3">
        <v>14</v>
      </c>
      <c r="S4" s="3">
        <v>10</v>
      </c>
      <c r="T4" s="3">
        <v>1</v>
      </c>
      <c r="U4" s="3">
        <v>2</v>
      </c>
      <c r="V4" s="3">
        <v>10</v>
      </c>
      <c r="W4" s="3">
        <v>9</v>
      </c>
      <c r="X4" s="3">
        <v>8</v>
      </c>
      <c r="Y4" s="3">
        <v>1</v>
      </c>
      <c r="Z4" s="3">
        <v>1</v>
      </c>
      <c r="AA4" s="3">
        <v>11</v>
      </c>
      <c r="AB4" s="3">
        <v>10</v>
      </c>
      <c r="AC4" s="3">
        <v>11</v>
      </c>
      <c r="AD4" s="3">
        <v>1</v>
      </c>
      <c r="AE4" s="3">
        <v>1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</row>
    <row r="5" spans="1:106" s="9" customFormat="1" x14ac:dyDescent="0.3">
      <c r="A5" s="8" t="s">
        <v>36</v>
      </c>
      <c r="B5" s="8">
        <v>6</v>
      </c>
      <c r="C5" s="8">
        <v>5</v>
      </c>
      <c r="D5" s="8">
        <v>3</v>
      </c>
      <c r="E5" s="8">
        <v>1</v>
      </c>
      <c r="F5" s="8">
        <v>1</v>
      </c>
      <c r="G5" s="8">
        <v>2</v>
      </c>
      <c r="H5" s="8">
        <v>2</v>
      </c>
      <c r="I5" s="8">
        <v>2</v>
      </c>
      <c r="J5" s="8">
        <v>0</v>
      </c>
      <c r="K5" s="8">
        <v>0</v>
      </c>
      <c r="L5" s="8">
        <v>20</v>
      </c>
      <c r="M5" s="8">
        <v>20</v>
      </c>
      <c r="N5" s="8">
        <v>15</v>
      </c>
      <c r="O5" s="8">
        <v>2</v>
      </c>
      <c r="P5" s="8">
        <v>10</v>
      </c>
      <c r="Q5" s="8">
        <v>34</v>
      </c>
      <c r="R5" s="8">
        <v>32</v>
      </c>
      <c r="S5" s="8">
        <v>31</v>
      </c>
      <c r="T5" s="8">
        <v>6</v>
      </c>
      <c r="U5" s="8">
        <v>11</v>
      </c>
      <c r="V5" s="8">
        <v>55</v>
      </c>
      <c r="W5" s="8">
        <v>52</v>
      </c>
      <c r="X5" s="8">
        <v>51</v>
      </c>
      <c r="Y5" s="8">
        <v>7</v>
      </c>
      <c r="Z5" s="8">
        <v>16</v>
      </c>
      <c r="AA5" s="8">
        <v>28</v>
      </c>
      <c r="AB5" s="8">
        <v>26</v>
      </c>
      <c r="AC5" s="8">
        <v>25</v>
      </c>
      <c r="AD5" s="8">
        <v>4</v>
      </c>
      <c r="AE5" s="8">
        <v>9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</row>
    <row r="6" spans="1:106" x14ac:dyDescent="0.3">
      <c r="A6" s="3" t="s">
        <v>37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</row>
    <row r="7" spans="1:106" s="9" customFormat="1" x14ac:dyDescent="0.3">
      <c r="A7" s="8" t="s">
        <v>38</v>
      </c>
      <c r="B7" s="8">
        <v>47</v>
      </c>
      <c r="C7" s="8">
        <v>43</v>
      </c>
      <c r="D7" s="8">
        <v>39</v>
      </c>
      <c r="E7" s="8">
        <v>3</v>
      </c>
      <c r="F7" s="8">
        <v>2</v>
      </c>
      <c r="G7" s="8">
        <v>8</v>
      </c>
      <c r="H7" s="8">
        <v>8</v>
      </c>
      <c r="I7" s="8">
        <v>6</v>
      </c>
      <c r="J7" s="8">
        <v>0</v>
      </c>
      <c r="K7" s="8">
        <v>0</v>
      </c>
      <c r="L7" s="8">
        <v>9</v>
      </c>
      <c r="M7" s="8">
        <v>9</v>
      </c>
      <c r="N7" s="8">
        <v>9</v>
      </c>
      <c r="O7" s="8">
        <v>1</v>
      </c>
      <c r="P7" s="8">
        <v>2</v>
      </c>
      <c r="Q7" s="8">
        <v>13</v>
      </c>
      <c r="R7" s="8">
        <v>13</v>
      </c>
      <c r="S7" s="8">
        <v>12</v>
      </c>
      <c r="T7" s="8">
        <v>3</v>
      </c>
      <c r="U7" s="8">
        <v>4</v>
      </c>
      <c r="V7" s="8">
        <v>17</v>
      </c>
      <c r="W7" s="8">
        <v>17</v>
      </c>
      <c r="X7" s="8">
        <v>16</v>
      </c>
      <c r="Y7" s="8">
        <v>2</v>
      </c>
      <c r="Z7" s="8">
        <v>4</v>
      </c>
      <c r="AA7" s="8">
        <v>9</v>
      </c>
      <c r="AB7" s="8">
        <v>9</v>
      </c>
      <c r="AC7" s="8">
        <v>8</v>
      </c>
      <c r="AD7" s="8">
        <v>1</v>
      </c>
      <c r="AE7" s="8">
        <v>1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</row>
    <row r="8" spans="1:106" s="9" customFormat="1" x14ac:dyDescent="0.3">
      <c r="A8" s="8" t="s">
        <v>39</v>
      </c>
      <c r="B8" s="8">
        <v>27</v>
      </c>
      <c r="C8" s="8">
        <v>26</v>
      </c>
      <c r="D8" s="8">
        <v>22</v>
      </c>
      <c r="E8" s="8">
        <v>2</v>
      </c>
      <c r="F8" s="8">
        <v>10</v>
      </c>
      <c r="G8" s="8">
        <v>6</v>
      </c>
      <c r="H8" s="8">
        <v>6</v>
      </c>
      <c r="I8" s="8">
        <v>6</v>
      </c>
      <c r="J8" s="8">
        <v>0</v>
      </c>
      <c r="K8" s="8">
        <v>2</v>
      </c>
      <c r="L8" s="8">
        <v>10</v>
      </c>
      <c r="M8" s="8">
        <v>10</v>
      </c>
      <c r="N8" s="8">
        <v>9</v>
      </c>
      <c r="O8" s="8">
        <v>1</v>
      </c>
      <c r="P8" s="8">
        <v>1</v>
      </c>
      <c r="Q8" s="8">
        <v>12</v>
      </c>
      <c r="R8" s="8">
        <v>11</v>
      </c>
      <c r="S8" s="8">
        <v>11</v>
      </c>
      <c r="T8" s="8">
        <v>2</v>
      </c>
      <c r="U8" s="8">
        <v>2</v>
      </c>
      <c r="V8" s="8">
        <v>12</v>
      </c>
      <c r="W8" s="8">
        <v>11</v>
      </c>
      <c r="X8" s="8">
        <v>11</v>
      </c>
      <c r="Y8" s="8">
        <v>2</v>
      </c>
      <c r="Z8" s="8">
        <v>2</v>
      </c>
      <c r="AA8" s="8">
        <v>4</v>
      </c>
      <c r="AB8" s="8">
        <v>4</v>
      </c>
      <c r="AC8" s="8">
        <v>4</v>
      </c>
      <c r="AD8" s="8">
        <v>1</v>
      </c>
      <c r="AE8" s="8">
        <v>1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</row>
    <row r="9" spans="1:106" s="9" customFormat="1" x14ac:dyDescent="0.3">
      <c r="A9" s="8" t="s">
        <v>40</v>
      </c>
      <c r="B9" s="8">
        <v>31</v>
      </c>
      <c r="C9" s="8">
        <v>30</v>
      </c>
      <c r="D9" s="8">
        <v>27</v>
      </c>
      <c r="E9" s="8">
        <v>1</v>
      </c>
      <c r="F9" s="8">
        <v>8</v>
      </c>
      <c r="G9" s="8">
        <v>8</v>
      </c>
      <c r="H9" s="8">
        <v>8</v>
      </c>
      <c r="I9" s="8">
        <v>8</v>
      </c>
      <c r="J9" s="8">
        <v>2</v>
      </c>
      <c r="K9" s="8">
        <v>2</v>
      </c>
      <c r="L9" s="8">
        <v>12</v>
      </c>
      <c r="M9" s="8">
        <v>12</v>
      </c>
      <c r="N9" s="8">
        <v>12</v>
      </c>
      <c r="O9" s="8">
        <v>0</v>
      </c>
      <c r="P9" s="8">
        <v>1</v>
      </c>
      <c r="Q9" s="8">
        <v>15</v>
      </c>
      <c r="R9" s="8">
        <v>15</v>
      </c>
      <c r="S9" s="8">
        <v>15</v>
      </c>
      <c r="T9" s="8">
        <v>1</v>
      </c>
      <c r="U9" s="8">
        <v>1</v>
      </c>
      <c r="V9" s="8">
        <v>15</v>
      </c>
      <c r="W9" s="8">
        <v>15</v>
      </c>
      <c r="X9" s="8">
        <v>15</v>
      </c>
      <c r="Y9" s="8">
        <v>1</v>
      </c>
      <c r="Z9" s="8">
        <v>1</v>
      </c>
      <c r="AA9" s="8">
        <v>2</v>
      </c>
      <c r="AB9" s="8">
        <v>2</v>
      </c>
      <c r="AC9" s="8">
        <v>2</v>
      </c>
      <c r="AD9" s="8">
        <v>0</v>
      </c>
      <c r="AE9" s="8">
        <v>1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</row>
    <row r="10" spans="1:106" x14ac:dyDescent="0.3">
      <c r="A10" s="3" t="s">
        <v>22</v>
      </c>
      <c r="B10" s="3">
        <f>SUM(B3:B9)</f>
        <v>133</v>
      </c>
      <c r="C10" s="3">
        <f t="shared" ref="C10:Q10" si="0">SUM(C3:C9)</f>
        <v>113</v>
      </c>
      <c r="D10" s="3">
        <f t="shared" si="0"/>
        <v>109</v>
      </c>
      <c r="E10" s="3">
        <f t="shared" si="0"/>
        <v>9</v>
      </c>
      <c r="F10" s="3">
        <f t="shared" si="0"/>
        <v>22</v>
      </c>
      <c r="G10" s="3">
        <f t="shared" si="0"/>
        <v>34</v>
      </c>
      <c r="H10" s="3">
        <f t="shared" si="0"/>
        <v>33</v>
      </c>
      <c r="I10" s="3">
        <f t="shared" si="0"/>
        <v>30</v>
      </c>
      <c r="J10" s="3">
        <f t="shared" si="0"/>
        <v>4</v>
      </c>
      <c r="K10" s="3">
        <f t="shared" si="0"/>
        <v>5</v>
      </c>
      <c r="L10" s="3">
        <f t="shared" si="0"/>
        <v>61</v>
      </c>
      <c r="M10" s="3">
        <f t="shared" si="0"/>
        <v>60</v>
      </c>
      <c r="N10" s="3">
        <f t="shared" si="0"/>
        <v>53</v>
      </c>
      <c r="O10" s="3">
        <f t="shared" si="0"/>
        <v>7</v>
      </c>
      <c r="P10" s="3">
        <f t="shared" si="0"/>
        <v>15</v>
      </c>
      <c r="Q10" s="3">
        <f t="shared" si="0"/>
        <v>102</v>
      </c>
      <c r="R10" s="3">
        <f t="shared" ref="R10" si="1">SUM(R3:R9)</f>
        <v>98</v>
      </c>
      <c r="S10" s="3">
        <f t="shared" ref="S10" si="2">SUM(S3:S9)</f>
        <v>92</v>
      </c>
      <c r="T10" s="3">
        <f t="shared" ref="T10" si="3">SUM(T3:T9)</f>
        <v>16</v>
      </c>
      <c r="U10" s="3">
        <f t="shared" ref="U10" si="4">SUM(U3:U9)</f>
        <v>23</v>
      </c>
      <c r="V10" s="3">
        <f t="shared" ref="V10" si="5">SUM(V3:V9)</f>
        <v>123</v>
      </c>
      <c r="W10" s="3">
        <f t="shared" ref="W10" si="6">SUM(W3:W9)</f>
        <v>118</v>
      </c>
      <c r="X10" s="3">
        <f t="shared" ref="X10" si="7">SUM(X3:X9)</f>
        <v>114</v>
      </c>
      <c r="Y10" s="3">
        <f t="shared" ref="Y10" si="8">SUM(Y3:Y9)</f>
        <v>15</v>
      </c>
      <c r="Z10" s="3">
        <f t="shared" ref="Z10" si="9">SUM(Z3:Z9)</f>
        <v>27</v>
      </c>
      <c r="AA10" s="3">
        <f t="shared" ref="AA10" si="10">SUM(AA3:AA9)</f>
        <v>60</v>
      </c>
      <c r="AB10" s="3">
        <f t="shared" ref="AB10" si="11">SUM(AB3:AB9)</f>
        <v>56</v>
      </c>
      <c r="AC10" s="3">
        <f t="shared" ref="AC10" si="12">SUM(AC3:AC9)</f>
        <v>55</v>
      </c>
      <c r="AD10" s="3">
        <f t="shared" ref="AD10" si="13">SUM(AD3:AD9)</f>
        <v>8</v>
      </c>
      <c r="AE10" s="3">
        <f t="shared" ref="AE10:AF10" si="14">SUM(AE3:AE9)</f>
        <v>14</v>
      </c>
      <c r="AF10" s="3">
        <f t="shared" si="14"/>
        <v>0</v>
      </c>
      <c r="AG10" s="3">
        <f t="shared" ref="AG10" si="15">SUM(AG3:AG9)</f>
        <v>0</v>
      </c>
      <c r="AH10" s="3">
        <f t="shared" ref="AH10" si="16">SUM(AH3:AH9)</f>
        <v>0</v>
      </c>
      <c r="AI10" s="3">
        <f t="shared" ref="AI10" si="17">SUM(AI3:AI9)</f>
        <v>0</v>
      </c>
      <c r="AJ10" s="3">
        <f t="shared" ref="AJ10" si="18">SUM(AJ3:AJ9)</f>
        <v>0</v>
      </c>
      <c r="AK10" s="3">
        <f t="shared" ref="AK10" si="19">SUM(AK3:AK9)</f>
        <v>0</v>
      </c>
      <c r="AL10" s="3">
        <f t="shared" ref="AL10" si="20">SUM(AL3:AL9)</f>
        <v>0</v>
      </c>
      <c r="AM10" s="3">
        <f t="shared" ref="AM10" si="21">SUM(AM3:AM9)</f>
        <v>0</v>
      </c>
      <c r="AN10" s="3">
        <f t="shared" ref="AN10" si="22">SUM(AN3:AN9)</f>
        <v>0</v>
      </c>
      <c r="AO10" s="3">
        <f t="shared" ref="AO10" si="23">SUM(AO3:AO9)</f>
        <v>0</v>
      </c>
      <c r="AP10" s="3">
        <f t="shared" ref="AP10" si="24">SUM(AP3:AP9)</f>
        <v>0</v>
      </c>
      <c r="AQ10" s="3">
        <f t="shared" ref="AQ10" si="25">SUM(AQ3:AQ9)</f>
        <v>0</v>
      </c>
      <c r="AR10" s="3">
        <f t="shared" ref="AR10" si="26">SUM(AR3:AR9)</f>
        <v>0</v>
      </c>
      <c r="AS10" s="3">
        <f t="shared" ref="AS10" si="27">SUM(AS3:AS9)</f>
        <v>0</v>
      </c>
      <c r="AT10" s="3">
        <f t="shared" ref="AT10:AU10" si="28">SUM(AT3:AT9)</f>
        <v>0</v>
      </c>
      <c r="AU10" s="3">
        <f t="shared" si="28"/>
        <v>0</v>
      </c>
      <c r="AV10" s="3">
        <f t="shared" ref="AV10" si="29">SUM(AV3:AV9)</f>
        <v>0</v>
      </c>
      <c r="AW10" s="3">
        <f t="shared" ref="AW10" si="30">SUM(AW3:AW9)</f>
        <v>0</v>
      </c>
      <c r="AX10" s="3">
        <f t="shared" ref="AX10" si="31">SUM(AX3:AX9)</f>
        <v>0</v>
      </c>
      <c r="AY10" s="3">
        <f t="shared" ref="AY10" si="32">SUM(AY3:AY9)</f>
        <v>0</v>
      </c>
      <c r="AZ10" s="3">
        <f t="shared" ref="AZ10" si="33">SUM(AZ3:AZ9)</f>
        <v>0</v>
      </c>
      <c r="BA10" s="3">
        <f t="shared" ref="BA10" si="34">SUM(BA3:BA9)</f>
        <v>0</v>
      </c>
      <c r="BB10" s="3">
        <f t="shared" ref="BB10" si="35">SUM(BB3:BB9)</f>
        <v>0</v>
      </c>
      <c r="BC10" s="3">
        <f t="shared" ref="BC10" si="36">SUM(BC3:BC9)</f>
        <v>0</v>
      </c>
      <c r="BD10" s="3">
        <f t="shared" ref="BD10" si="37">SUM(BD3:BD9)</f>
        <v>0</v>
      </c>
      <c r="BE10" s="3">
        <f t="shared" ref="BE10" si="38">SUM(BE3:BE9)</f>
        <v>0</v>
      </c>
      <c r="BF10" s="3">
        <f t="shared" ref="BF10" si="39">SUM(BF3:BF9)</f>
        <v>0</v>
      </c>
      <c r="BG10" s="3">
        <f t="shared" ref="BG10" si="40">SUM(BG3:BG9)</f>
        <v>0</v>
      </c>
      <c r="BH10" s="3">
        <f t="shared" ref="BH10" si="41">SUM(BH3:BH9)</f>
        <v>0</v>
      </c>
      <c r="BI10" s="3">
        <f t="shared" ref="BI10:BJ10" si="42">SUM(BI3:BI9)</f>
        <v>0</v>
      </c>
      <c r="BJ10" s="3">
        <f t="shared" si="42"/>
        <v>0</v>
      </c>
      <c r="BK10" s="3">
        <f t="shared" ref="BK10" si="43">SUM(BK3:BK9)</f>
        <v>0</v>
      </c>
      <c r="BL10" s="3">
        <f t="shared" ref="BL10" si="44">SUM(BL3:BL9)</f>
        <v>0</v>
      </c>
      <c r="BM10" s="3">
        <f t="shared" ref="BM10" si="45">SUM(BM3:BM9)</f>
        <v>0</v>
      </c>
      <c r="BN10" s="3">
        <f t="shared" ref="BN10" si="46">SUM(BN3:BN9)</f>
        <v>0</v>
      </c>
      <c r="BO10" s="3">
        <f t="shared" ref="BO10" si="47">SUM(BO3:BO9)</f>
        <v>0</v>
      </c>
      <c r="BP10" s="3">
        <f t="shared" ref="BP10" si="48">SUM(BP3:BP9)</f>
        <v>0</v>
      </c>
      <c r="BQ10" s="3">
        <f t="shared" ref="BQ10" si="49">SUM(BQ3:BQ9)</f>
        <v>0</v>
      </c>
      <c r="BR10" s="3">
        <f t="shared" ref="BR10" si="50">SUM(BR3:BR9)</f>
        <v>0</v>
      </c>
      <c r="BS10" s="3">
        <f t="shared" ref="BS10" si="51">SUM(BS3:BS9)</f>
        <v>0</v>
      </c>
      <c r="BT10" s="3">
        <f t="shared" ref="BT10" si="52">SUM(BT3:BT9)</f>
        <v>0</v>
      </c>
      <c r="BU10" s="3">
        <f t="shared" ref="BU10" si="53">SUM(BU3:BU9)</f>
        <v>0</v>
      </c>
      <c r="BV10" s="3">
        <f t="shared" ref="BV10" si="54">SUM(BV3:BV9)</f>
        <v>0</v>
      </c>
      <c r="BW10" s="3">
        <f t="shared" ref="BW10" si="55">SUM(BW3:BW9)</f>
        <v>0</v>
      </c>
      <c r="BX10" s="3">
        <f t="shared" ref="BX10" si="56">SUM(BX3:BX9)</f>
        <v>0</v>
      </c>
      <c r="BY10" s="3">
        <f t="shared" ref="BY10" si="57">SUM(BY3:BY9)</f>
        <v>0</v>
      </c>
      <c r="BZ10" s="3">
        <f t="shared" ref="BZ10" si="58">SUM(BZ3:BZ9)</f>
        <v>0</v>
      </c>
      <c r="CA10" s="3">
        <f t="shared" ref="CA10" si="59">SUM(CA3:CA9)</f>
        <v>0</v>
      </c>
      <c r="CB10" s="3">
        <f t="shared" ref="CB10" si="60">SUM(CB3:CB9)</f>
        <v>0</v>
      </c>
      <c r="CC10" s="3">
        <f t="shared" ref="CC10" si="61">SUM(CC3:CC9)</f>
        <v>0</v>
      </c>
      <c r="CD10" s="3">
        <f t="shared" ref="CD10" si="62">SUM(CD3:CD9)</f>
        <v>0</v>
      </c>
      <c r="CE10" s="3">
        <f t="shared" ref="CE10" si="63">SUM(CE3:CE9)</f>
        <v>0</v>
      </c>
      <c r="CF10" s="3">
        <f t="shared" ref="CF10" si="64">SUM(CF3:CF9)</f>
        <v>0</v>
      </c>
      <c r="CG10" s="3">
        <f t="shared" ref="CG10" si="65">SUM(CG3:CG9)</f>
        <v>0</v>
      </c>
      <c r="CH10" s="3">
        <f t="shared" ref="CH10" si="66">SUM(CH3:CH9)</f>
        <v>0</v>
      </c>
      <c r="CI10" s="3">
        <f t="shared" ref="CI10" si="67">SUM(CI3:CI9)</f>
        <v>0</v>
      </c>
      <c r="CJ10" s="3">
        <f t="shared" ref="CJ10" si="68">SUM(CJ3:CJ9)</f>
        <v>0</v>
      </c>
      <c r="CK10" s="3">
        <f t="shared" ref="CK10" si="69">SUM(CK3:CK9)</f>
        <v>0</v>
      </c>
      <c r="CL10" s="3">
        <f t="shared" ref="CL10" si="70">SUM(CL3:CL9)</f>
        <v>0</v>
      </c>
      <c r="CM10" s="3">
        <f t="shared" ref="CM10" si="71">SUM(CM3:CM9)</f>
        <v>0</v>
      </c>
      <c r="CN10" s="3">
        <f t="shared" ref="CN10" si="72">SUM(CN3:CN9)</f>
        <v>0</v>
      </c>
      <c r="CO10" s="3">
        <f t="shared" ref="CO10" si="73">SUM(CO3:CO9)</f>
        <v>0</v>
      </c>
      <c r="CP10" s="3">
        <f t="shared" ref="CP10" si="74">SUM(CP3:CP9)</f>
        <v>0</v>
      </c>
      <c r="CQ10" s="3">
        <f t="shared" ref="CQ10" si="75">SUM(CQ3:CQ9)</f>
        <v>0</v>
      </c>
      <c r="CR10" s="3">
        <f t="shared" ref="CR10" si="76">SUM(CR3:CR9)</f>
        <v>0</v>
      </c>
      <c r="CS10" s="3">
        <f t="shared" ref="CS10" si="77">SUM(CS3:CS9)</f>
        <v>0</v>
      </c>
      <c r="CT10" s="3">
        <f t="shared" ref="CT10" si="78">SUM(CT3:CT9)</f>
        <v>0</v>
      </c>
      <c r="CU10" s="3">
        <f t="shared" ref="CU10" si="79">SUM(CU3:CU9)</f>
        <v>0</v>
      </c>
      <c r="CV10" s="3">
        <f t="shared" ref="CV10" si="80">SUM(CV3:CV9)</f>
        <v>0</v>
      </c>
      <c r="CW10" s="3">
        <f t="shared" ref="CW10" si="81">SUM(CW3:CW9)</f>
        <v>0</v>
      </c>
      <c r="CX10" s="3">
        <f t="shared" ref="CX10" si="82">SUM(CX3:CX9)</f>
        <v>0</v>
      </c>
      <c r="CY10" s="3">
        <f t="shared" ref="CY10" si="83">SUM(CY3:CY9)</f>
        <v>0</v>
      </c>
      <c r="CZ10" s="3">
        <f t="shared" ref="CZ10" si="84">SUM(CZ3:CZ9)</f>
        <v>0</v>
      </c>
      <c r="DA10" s="3">
        <f t="shared" ref="DA10" si="85">SUM(DA3:DA9)</f>
        <v>0</v>
      </c>
      <c r="DB10" s="3">
        <f t="shared" ref="DB10" si="86">SUM(DB3:DB9)</f>
        <v>0</v>
      </c>
    </row>
  </sheetData>
  <mergeCells count="21">
    <mergeCell ref="BE1:BI1"/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CN1:CR1"/>
    <mergeCell ref="CS1:CW1"/>
    <mergeCell ref="CX1:DB1"/>
    <mergeCell ref="BJ1:BN1"/>
    <mergeCell ref="BO1:BS1"/>
    <mergeCell ref="BT1:BX1"/>
    <mergeCell ref="BY1:CC1"/>
    <mergeCell ref="CD1:CH1"/>
    <mergeCell ref="CI1:CM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0438-6213-466A-AEAC-59430419ECE2}">
  <dimension ref="B3:W8"/>
  <sheetViews>
    <sheetView workbookViewId="0">
      <selection activeCell="B51" sqref="B51"/>
    </sheetView>
  </sheetViews>
  <sheetFormatPr defaultRowHeight="16.5" x14ac:dyDescent="0.3"/>
  <cols>
    <col min="1" max="1" width="5.75" bestFit="1" customWidth="1"/>
    <col min="2" max="2" width="18.625" bestFit="1" customWidth="1"/>
    <col min="3" max="11" width="6.25" bestFit="1" customWidth="1"/>
    <col min="12" max="23" width="7.25" bestFit="1" customWidth="1"/>
  </cols>
  <sheetData>
    <row r="3" spans="2:23" x14ac:dyDescent="0.3">
      <c r="C3" t="s">
        <v>0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</row>
    <row r="4" spans="2:23" x14ac:dyDescent="0.3">
      <c r="B4" s="2" t="s">
        <v>4</v>
      </c>
      <c r="C4">
        <v>125</v>
      </c>
    </row>
    <row r="5" spans="2:23" x14ac:dyDescent="0.3">
      <c r="B5" s="1" t="s">
        <v>1</v>
      </c>
      <c r="C5">
        <v>111</v>
      </c>
    </row>
    <row r="6" spans="2:23" x14ac:dyDescent="0.3">
      <c r="B6" s="1" t="s">
        <v>5</v>
      </c>
      <c r="C6">
        <v>101</v>
      </c>
    </row>
    <row r="7" spans="2:23" x14ac:dyDescent="0.3">
      <c r="B7" s="1" t="s">
        <v>6</v>
      </c>
      <c r="C7">
        <v>9</v>
      </c>
    </row>
    <row r="8" spans="2:23" x14ac:dyDescent="0.3">
      <c r="B8" s="1" t="s">
        <v>2</v>
      </c>
      <c r="C8">
        <v>21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971A-0C51-450E-BC56-9CBEC167DAAD}">
  <dimension ref="A1:AP12"/>
  <sheetViews>
    <sheetView tabSelected="1" zoomScale="85" zoomScaleNormal="85" workbookViewId="0">
      <selection activeCell="A50" sqref="A50"/>
    </sheetView>
  </sheetViews>
  <sheetFormatPr defaultColWidth="6" defaultRowHeight="16.5" x14ac:dyDescent="0.3"/>
  <cols>
    <col min="1" max="1" width="17.125" style="4" customWidth="1"/>
    <col min="2" max="2" width="5.5" style="4" bestFit="1" customWidth="1"/>
    <col min="3" max="3" width="7.375" style="4" bestFit="1" customWidth="1"/>
    <col min="4" max="4" width="8" style="4" bestFit="1" customWidth="1"/>
    <col min="5" max="5" width="7.375" style="4" bestFit="1" customWidth="1"/>
    <col min="6" max="6" width="8.75" style="4" bestFit="1" customWidth="1"/>
    <col min="7" max="7" width="17.125" style="4" bestFit="1" customWidth="1"/>
    <col min="8" max="8" width="5.5" style="4" bestFit="1" customWidth="1"/>
    <col min="9" max="9" width="7.375" style="4" bestFit="1" customWidth="1"/>
    <col min="10" max="10" width="8" style="4" bestFit="1" customWidth="1"/>
    <col min="11" max="11" width="7.375" style="4" bestFit="1" customWidth="1"/>
    <col min="12" max="12" width="8.75" style="4" bestFit="1" customWidth="1"/>
    <col min="13" max="13" width="17.125" style="4" bestFit="1" customWidth="1"/>
    <col min="14" max="14" width="5.5" style="4" bestFit="1" customWidth="1"/>
    <col min="15" max="15" width="7.375" style="4" bestFit="1" customWidth="1"/>
    <col min="16" max="16" width="8" style="4" bestFit="1" customWidth="1"/>
    <col min="17" max="17" width="7.375" style="4" bestFit="1" customWidth="1"/>
    <col min="18" max="18" width="8.75" style="4" bestFit="1" customWidth="1"/>
    <col min="19" max="19" width="17.125" style="4" bestFit="1" customWidth="1"/>
    <col min="20" max="20" width="5.5" style="4" bestFit="1" customWidth="1"/>
    <col min="21" max="21" width="7.375" style="4" bestFit="1" customWidth="1"/>
    <col min="22" max="22" width="8" style="4" bestFit="1" customWidth="1"/>
    <col min="23" max="23" width="7.375" style="4" bestFit="1" customWidth="1"/>
    <col min="24" max="24" width="8.75" style="4" bestFit="1" customWidth="1"/>
    <col min="25" max="25" width="17.125" style="4" bestFit="1" customWidth="1"/>
    <col min="26" max="26" width="5.5" style="4" bestFit="1" customWidth="1"/>
    <col min="27" max="27" width="7.375" style="4" bestFit="1" customWidth="1"/>
    <col min="28" max="28" width="8" style="4" bestFit="1" customWidth="1"/>
    <col min="29" max="29" width="7.375" style="4" bestFit="1" customWidth="1"/>
    <col min="30" max="30" width="8.75" style="4" bestFit="1" customWidth="1"/>
    <col min="31" max="31" width="17.125" style="4" bestFit="1" customWidth="1"/>
    <col min="32" max="32" width="5.5" style="4" bestFit="1" customWidth="1"/>
    <col min="33" max="33" width="7.375" style="4" bestFit="1" customWidth="1"/>
    <col min="34" max="34" width="8" style="4" bestFit="1" customWidth="1"/>
    <col min="35" max="35" width="7.375" style="4" bestFit="1" customWidth="1"/>
    <col min="36" max="36" width="8.75" style="4" bestFit="1" customWidth="1"/>
    <col min="37" max="37" width="17.125" style="4" bestFit="1" customWidth="1"/>
    <col min="38" max="38" width="5.5" style="4" bestFit="1" customWidth="1"/>
    <col min="39" max="39" width="7.375" style="4" bestFit="1" customWidth="1"/>
    <col min="40" max="40" width="8" style="4" bestFit="1" customWidth="1"/>
    <col min="41" max="41" width="7.375" style="4" bestFit="1" customWidth="1"/>
    <col min="42" max="42" width="8.75" style="4" bestFit="1" customWidth="1"/>
    <col min="43" max="16384" width="6" style="4"/>
  </cols>
  <sheetData>
    <row r="1" spans="1:42" x14ac:dyDescent="0.3">
      <c r="A1" s="11"/>
      <c r="B1" s="16" t="s">
        <v>34</v>
      </c>
      <c r="C1" s="17"/>
      <c r="D1" s="17"/>
      <c r="E1" s="17"/>
      <c r="F1" s="18"/>
      <c r="G1" s="11"/>
      <c r="H1" s="15" t="s">
        <v>35</v>
      </c>
      <c r="I1" s="15"/>
      <c r="J1" s="15"/>
      <c r="K1" s="15"/>
      <c r="L1" s="15"/>
      <c r="M1" s="11"/>
      <c r="N1" s="15" t="s">
        <v>36</v>
      </c>
      <c r="O1" s="15"/>
      <c r="P1" s="15"/>
      <c r="Q1" s="15"/>
      <c r="R1" s="15"/>
      <c r="S1" s="11"/>
      <c r="T1" s="15" t="s">
        <v>37</v>
      </c>
      <c r="U1" s="15"/>
      <c r="V1" s="15"/>
      <c r="W1" s="15"/>
      <c r="X1" s="15"/>
      <c r="Y1" s="11"/>
      <c r="Z1" s="15" t="s">
        <v>38</v>
      </c>
      <c r="AA1" s="15"/>
      <c r="AB1" s="15"/>
      <c r="AC1" s="15"/>
      <c r="AD1" s="15"/>
      <c r="AE1" s="11"/>
      <c r="AF1" s="15" t="s">
        <v>39</v>
      </c>
      <c r="AG1" s="15"/>
      <c r="AH1" s="15"/>
      <c r="AI1" s="15"/>
      <c r="AJ1" s="15"/>
      <c r="AK1" s="11"/>
      <c r="AL1" s="15" t="s">
        <v>40</v>
      </c>
      <c r="AM1" s="15"/>
      <c r="AN1" s="15"/>
      <c r="AO1" s="15"/>
      <c r="AP1" s="15"/>
    </row>
    <row r="2" spans="1:42" s="5" customFormat="1" ht="51.75" customHeight="1" x14ac:dyDescent="0.3">
      <c r="A2" s="12" t="s">
        <v>33</v>
      </c>
      <c r="B2" s="13" t="s">
        <v>4</v>
      </c>
      <c r="C2" s="12" t="s">
        <v>1</v>
      </c>
      <c r="D2" s="12" t="s">
        <v>5</v>
      </c>
      <c r="E2" s="12" t="s">
        <v>6</v>
      </c>
      <c r="F2" s="12" t="s">
        <v>2</v>
      </c>
      <c r="G2" s="12" t="s">
        <v>33</v>
      </c>
      <c r="H2" s="13" t="s">
        <v>4</v>
      </c>
      <c r="I2" s="12" t="s">
        <v>1</v>
      </c>
      <c r="J2" s="12" t="s">
        <v>5</v>
      </c>
      <c r="K2" s="12" t="s">
        <v>6</v>
      </c>
      <c r="L2" s="12" t="s">
        <v>2</v>
      </c>
      <c r="M2" s="12" t="s">
        <v>33</v>
      </c>
      <c r="N2" s="13" t="s">
        <v>4</v>
      </c>
      <c r="O2" s="12" t="s">
        <v>1</v>
      </c>
      <c r="P2" s="12" t="s">
        <v>5</v>
      </c>
      <c r="Q2" s="12" t="s">
        <v>6</v>
      </c>
      <c r="R2" s="12" t="s">
        <v>2</v>
      </c>
      <c r="S2" s="12" t="s">
        <v>33</v>
      </c>
      <c r="T2" s="13" t="s">
        <v>4</v>
      </c>
      <c r="U2" s="12" t="s">
        <v>1</v>
      </c>
      <c r="V2" s="12" t="s">
        <v>5</v>
      </c>
      <c r="W2" s="12" t="s">
        <v>6</v>
      </c>
      <c r="X2" s="12" t="s">
        <v>2</v>
      </c>
      <c r="Y2" s="12" t="s">
        <v>33</v>
      </c>
      <c r="Z2" s="13" t="s">
        <v>4</v>
      </c>
      <c r="AA2" s="12" t="s">
        <v>1</v>
      </c>
      <c r="AB2" s="12" t="s">
        <v>5</v>
      </c>
      <c r="AC2" s="12" t="s">
        <v>6</v>
      </c>
      <c r="AD2" s="12" t="s">
        <v>2</v>
      </c>
      <c r="AE2" s="12" t="s">
        <v>33</v>
      </c>
      <c r="AF2" s="13" t="s">
        <v>4</v>
      </c>
      <c r="AG2" s="12" t="s">
        <v>1</v>
      </c>
      <c r="AH2" s="12" t="s">
        <v>5</v>
      </c>
      <c r="AI2" s="12" t="s">
        <v>6</v>
      </c>
      <c r="AJ2" s="12" t="s">
        <v>2</v>
      </c>
      <c r="AK2" s="12" t="s">
        <v>33</v>
      </c>
      <c r="AL2" s="13" t="s">
        <v>4</v>
      </c>
      <c r="AM2" s="12" t="s">
        <v>1</v>
      </c>
      <c r="AN2" s="12" t="s">
        <v>5</v>
      </c>
      <c r="AO2" s="12" t="s">
        <v>6</v>
      </c>
      <c r="AP2" s="12" t="s">
        <v>2</v>
      </c>
    </row>
    <row r="3" spans="1:42" x14ac:dyDescent="0.3">
      <c r="A3" s="10" t="s">
        <v>28</v>
      </c>
      <c r="B3" s="3">
        <v>10</v>
      </c>
      <c r="C3" s="3">
        <v>4</v>
      </c>
      <c r="D3" s="3">
        <v>8</v>
      </c>
      <c r="E3" s="3">
        <v>1</v>
      </c>
      <c r="F3" s="3">
        <v>0</v>
      </c>
      <c r="G3" s="10" t="s">
        <v>43</v>
      </c>
      <c r="H3" s="3">
        <v>12</v>
      </c>
      <c r="I3" s="3">
        <v>5</v>
      </c>
      <c r="J3" s="3">
        <v>10</v>
      </c>
      <c r="K3" s="3">
        <v>1</v>
      </c>
      <c r="L3" s="3">
        <v>1</v>
      </c>
      <c r="M3" s="10" t="s">
        <v>43</v>
      </c>
      <c r="N3" s="3">
        <v>6</v>
      </c>
      <c r="O3" s="3">
        <v>5</v>
      </c>
      <c r="P3" s="3">
        <v>3</v>
      </c>
      <c r="Q3" s="3">
        <v>1</v>
      </c>
      <c r="R3" s="3">
        <v>1</v>
      </c>
      <c r="S3" s="10" t="s">
        <v>43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10" t="s">
        <v>43</v>
      </c>
      <c r="Z3" s="3">
        <v>47</v>
      </c>
      <c r="AA3" s="3">
        <v>43</v>
      </c>
      <c r="AB3" s="3">
        <v>39</v>
      </c>
      <c r="AC3" s="3">
        <v>3</v>
      </c>
      <c r="AD3" s="3">
        <v>2</v>
      </c>
      <c r="AE3" s="10" t="s">
        <v>43</v>
      </c>
      <c r="AF3" s="3">
        <v>27</v>
      </c>
      <c r="AG3" s="3">
        <v>26</v>
      </c>
      <c r="AH3" s="3">
        <v>22</v>
      </c>
      <c r="AI3" s="3">
        <v>2</v>
      </c>
      <c r="AJ3" s="3">
        <v>10</v>
      </c>
      <c r="AK3" s="10" t="s">
        <v>43</v>
      </c>
      <c r="AL3" s="3">
        <v>31</v>
      </c>
      <c r="AM3" s="3">
        <v>30</v>
      </c>
      <c r="AN3" s="3">
        <v>27</v>
      </c>
      <c r="AO3" s="3">
        <v>1</v>
      </c>
      <c r="AP3" s="3">
        <v>8</v>
      </c>
    </row>
    <row r="4" spans="1:42" x14ac:dyDescent="0.3">
      <c r="A4" s="3" t="s">
        <v>29</v>
      </c>
      <c r="B4" s="3">
        <v>4</v>
      </c>
      <c r="C4" s="3">
        <v>4</v>
      </c>
      <c r="D4" s="3">
        <v>4</v>
      </c>
      <c r="E4" s="3">
        <v>1</v>
      </c>
      <c r="F4" s="3">
        <v>1</v>
      </c>
      <c r="G4" s="3" t="s">
        <v>44</v>
      </c>
      <c r="H4" s="3">
        <v>6</v>
      </c>
      <c r="I4" s="3">
        <v>5</v>
      </c>
      <c r="J4" s="3">
        <v>4</v>
      </c>
      <c r="K4" s="3">
        <v>1</v>
      </c>
      <c r="L4" s="3">
        <v>0</v>
      </c>
      <c r="M4" s="3" t="s">
        <v>44</v>
      </c>
      <c r="N4" s="3">
        <v>2</v>
      </c>
      <c r="O4" s="3">
        <v>2</v>
      </c>
      <c r="P4" s="3">
        <v>2</v>
      </c>
      <c r="Q4" s="3">
        <v>0</v>
      </c>
      <c r="R4" s="3">
        <v>0</v>
      </c>
      <c r="S4" s="3" t="s">
        <v>44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 t="s">
        <v>44</v>
      </c>
      <c r="Z4" s="3">
        <v>8</v>
      </c>
      <c r="AA4" s="3">
        <v>8</v>
      </c>
      <c r="AB4" s="3">
        <v>6</v>
      </c>
      <c r="AC4" s="3">
        <v>0</v>
      </c>
      <c r="AD4" s="3">
        <v>0</v>
      </c>
      <c r="AE4" s="3" t="s">
        <v>44</v>
      </c>
      <c r="AF4" s="3">
        <v>6</v>
      </c>
      <c r="AG4" s="3">
        <v>6</v>
      </c>
      <c r="AH4" s="3">
        <v>6</v>
      </c>
      <c r="AI4" s="3">
        <v>0</v>
      </c>
      <c r="AJ4" s="3">
        <v>2</v>
      </c>
      <c r="AK4" s="3" t="s">
        <v>44</v>
      </c>
      <c r="AL4" s="3">
        <v>8</v>
      </c>
      <c r="AM4" s="3">
        <v>8</v>
      </c>
      <c r="AN4" s="3">
        <v>8</v>
      </c>
      <c r="AO4" s="3">
        <v>2</v>
      </c>
      <c r="AP4" s="3">
        <v>2</v>
      </c>
    </row>
    <row r="5" spans="1:42" x14ac:dyDescent="0.3">
      <c r="A5" s="3" t="s">
        <v>31</v>
      </c>
      <c r="B5" s="3">
        <v>4</v>
      </c>
      <c r="C5" s="3">
        <v>4</v>
      </c>
      <c r="D5" s="3">
        <v>4</v>
      </c>
      <c r="E5" s="3">
        <v>1</v>
      </c>
      <c r="F5" s="3">
        <v>1</v>
      </c>
      <c r="G5" s="3" t="s">
        <v>45</v>
      </c>
      <c r="H5" s="3">
        <v>6</v>
      </c>
      <c r="I5" s="3">
        <v>5</v>
      </c>
      <c r="J5" s="3">
        <v>4</v>
      </c>
      <c r="K5" s="3">
        <v>2</v>
      </c>
      <c r="L5" s="3">
        <v>0</v>
      </c>
      <c r="M5" s="3" t="s">
        <v>45</v>
      </c>
      <c r="N5" s="3">
        <v>20</v>
      </c>
      <c r="O5" s="3">
        <v>20</v>
      </c>
      <c r="P5" s="3">
        <v>15</v>
      </c>
      <c r="Q5" s="3">
        <v>2</v>
      </c>
      <c r="R5" s="3">
        <v>10</v>
      </c>
      <c r="S5" s="3" t="s">
        <v>45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 t="s">
        <v>45</v>
      </c>
      <c r="Z5" s="3">
        <v>9</v>
      </c>
      <c r="AA5" s="3">
        <v>9</v>
      </c>
      <c r="AB5" s="3">
        <v>9</v>
      </c>
      <c r="AC5" s="3">
        <v>1</v>
      </c>
      <c r="AD5" s="3">
        <v>2</v>
      </c>
      <c r="AE5" s="3" t="s">
        <v>45</v>
      </c>
      <c r="AF5" s="3">
        <v>10</v>
      </c>
      <c r="AG5" s="3">
        <v>10</v>
      </c>
      <c r="AH5" s="3">
        <v>9</v>
      </c>
      <c r="AI5" s="3">
        <v>1</v>
      </c>
      <c r="AJ5" s="3">
        <v>1</v>
      </c>
      <c r="AK5" s="3" t="s">
        <v>45</v>
      </c>
      <c r="AL5" s="3">
        <v>12</v>
      </c>
      <c r="AM5" s="3">
        <v>12</v>
      </c>
      <c r="AN5" s="3">
        <v>12</v>
      </c>
      <c r="AO5" s="3">
        <v>0</v>
      </c>
      <c r="AP5" s="3">
        <v>1</v>
      </c>
    </row>
    <row r="6" spans="1:42" x14ac:dyDescent="0.3">
      <c r="A6" s="3" t="s">
        <v>30</v>
      </c>
      <c r="B6" s="3">
        <v>13</v>
      </c>
      <c r="C6" s="3">
        <v>13</v>
      </c>
      <c r="D6" s="3">
        <v>13</v>
      </c>
      <c r="E6" s="3">
        <v>3</v>
      </c>
      <c r="F6" s="3">
        <v>3</v>
      </c>
      <c r="G6" s="3" t="s">
        <v>46</v>
      </c>
      <c r="H6" s="3">
        <v>15</v>
      </c>
      <c r="I6" s="3">
        <v>14</v>
      </c>
      <c r="J6" s="3">
        <v>10</v>
      </c>
      <c r="K6" s="3">
        <v>1</v>
      </c>
      <c r="L6" s="3">
        <v>2</v>
      </c>
      <c r="M6" s="3" t="s">
        <v>46</v>
      </c>
      <c r="N6" s="3">
        <v>34</v>
      </c>
      <c r="O6" s="3">
        <v>32</v>
      </c>
      <c r="P6" s="3">
        <v>31</v>
      </c>
      <c r="Q6" s="3">
        <v>6</v>
      </c>
      <c r="R6" s="3">
        <v>11</v>
      </c>
      <c r="S6" s="3" t="s">
        <v>46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 t="s">
        <v>46</v>
      </c>
      <c r="Z6" s="3">
        <v>13</v>
      </c>
      <c r="AA6" s="3">
        <v>13</v>
      </c>
      <c r="AB6" s="3">
        <v>12</v>
      </c>
      <c r="AC6" s="3">
        <v>3</v>
      </c>
      <c r="AD6" s="3">
        <v>4</v>
      </c>
      <c r="AE6" s="3" t="s">
        <v>46</v>
      </c>
      <c r="AF6" s="3">
        <v>12</v>
      </c>
      <c r="AG6" s="3">
        <v>11</v>
      </c>
      <c r="AH6" s="3">
        <v>11</v>
      </c>
      <c r="AI6" s="3">
        <v>2</v>
      </c>
      <c r="AJ6" s="3">
        <v>2</v>
      </c>
      <c r="AK6" s="3" t="s">
        <v>46</v>
      </c>
      <c r="AL6" s="3">
        <v>15</v>
      </c>
      <c r="AM6" s="3">
        <v>15</v>
      </c>
      <c r="AN6" s="3">
        <v>15</v>
      </c>
      <c r="AO6" s="3">
        <v>1</v>
      </c>
      <c r="AP6" s="3">
        <v>1</v>
      </c>
    </row>
    <row r="7" spans="1:42" x14ac:dyDescent="0.3">
      <c r="A7" s="3" t="s">
        <v>32</v>
      </c>
      <c r="B7" s="3">
        <v>14</v>
      </c>
      <c r="C7" s="3">
        <v>14</v>
      </c>
      <c r="D7" s="3">
        <v>13</v>
      </c>
      <c r="E7" s="3">
        <v>2</v>
      </c>
      <c r="F7" s="3">
        <v>3</v>
      </c>
      <c r="G7" s="3" t="s">
        <v>47</v>
      </c>
      <c r="H7" s="3">
        <v>10</v>
      </c>
      <c r="I7" s="3">
        <v>9</v>
      </c>
      <c r="J7" s="3">
        <v>8</v>
      </c>
      <c r="K7" s="3">
        <v>1</v>
      </c>
      <c r="L7" s="3">
        <v>1</v>
      </c>
      <c r="M7" s="3" t="s">
        <v>47</v>
      </c>
      <c r="N7" s="3">
        <v>55</v>
      </c>
      <c r="O7" s="3">
        <v>52</v>
      </c>
      <c r="P7" s="3">
        <v>51</v>
      </c>
      <c r="Q7" s="3">
        <v>7</v>
      </c>
      <c r="R7" s="3">
        <v>16</v>
      </c>
      <c r="S7" s="3" t="s">
        <v>47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 t="s">
        <v>47</v>
      </c>
      <c r="Z7" s="3">
        <v>17</v>
      </c>
      <c r="AA7" s="3">
        <v>17</v>
      </c>
      <c r="AB7" s="3">
        <v>16</v>
      </c>
      <c r="AC7" s="3">
        <v>2</v>
      </c>
      <c r="AD7" s="3">
        <v>4</v>
      </c>
      <c r="AE7" s="3" t="s">
        <v>47</v>
      </c>
      <c r="AF7" s="3">
        <v>12</v>
      </c>
      <c r="AG7" s="3">
        <v>11</v>
      </c>
      <c r="AH7" s="3">
        <v>11</v>
      </c>
      <c r="AI7" s="3">
        <v>2</v>
      </c>
      <c r="AJ7" s="3">
        <v>2</v>
      </c>
      <c r="AK7" s="3" t="s">
        <v>47</v>
      </c>
      <c r="AL7" s="3">
        <v>15</v>
      </c>
      <c r="AM7" s="3">
        <v>15</v>
      </c>
      <c r="AN7" s="3">
        <v>15</v>
      </c>
      <c r="AO7" s="3">
        <v>1</v>
      </c>
      <c r="AP7" s="3">
        <v>1</v>
      </c>
    </row>
    <row r="8" spans="1:42" x14ac:dyDescent="0.3">
      <c r="A8" s="3" t="s">
        <v>42</v>
      </c>
      <c r="B8" s="3">
        <v>6</v>
      </c>
      <c r="C8" s="3">
        <v>5</v>
      </c>
      <c r="D8" s="3">
        <v>5</v>
      </c>
      <c r="E8" s="3">
        <v>1</v>
      </c>
      <c r="F8" s="3">
        <v>1</v>
      </c>
      <c r="G8" s="3" t="s">
        <v>41</v>
      </c>
      <c r="H8" s="3">
        <v>11</v>
      </c>
      <c r="I8" s="3">
        <v>10</v>
      </c>
      <c r="J8" s="3">
        <v>11</v>
      </c>
      <c r="K8" s="3">
        <v>1</v>
      </c>
      <c r="L8" s="3">
        <v>1</v>
      </c>
      <c r="M8" s="3" t="s">
        <v>41</v>
      </c>
      <c r="N8" s="3">
        <v>28</v>
      </c>
      <c r="O8" s="3">
        <v>26</v>
      </c>
      <c r="P8" s="3">
        <v>25</v>
      </c>
      <c r="Q8" s="3">
        <v>4</v>
      </c>
      <c r="R8" s="3">
        <v>9</v>
      </c>
      <c r="S8" s="3" t="s">
        <v>41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41</v>
      </c>
      <c r="Z8" s="3">
        <v>9</v>
      </c>
      <c r="AA8" s="3">
        <v>9</v>
      </c>
      <c r="AB8" s="3">
        <v>8</v>
      </c>
      <c r="AC8" s="3">
        <v>1</v>
      </c>
      <c r="AD8" s="3">
        <v>1</v>
      </c>
      <c r="AE8" s="3" t="s">
        <v>41</v>
      </c>
      <c r="AF8" s="3">
        <v>4</v>
      </c>
      <c r="AG8" s="3">
        <v>4</v>
      </c>
      <c r="AH8" s="3">
        <v>4</v>
      </c>
      <c r="AI8" s="3">
        <v>1</v>
      </c>
      <c r="AJ8" s="3">
        <v>1</v>
      </c>
      <c r="AK8" s="3" t="s">
        <v>41</v>
      </c>
      <c r="AL8" s="3">
        <v>2</v>
      </c>
      <c r="AM8" s="3">
        <v>2</v>
      </c>
      <c r="AN8" s="3">
        <v>2</v>
      </c>
      <c r="AO8" s="3">
        <v>0</v>
      </c>
      <c r="AP8" s="3">
        <v>1</v>
      </c>
    </row>
    <row r="9" spans="1:42" x14ac:dyDescent="0.3">
      <c r="A9" s="3" t="s">
        <v>48</v>
      </c>
      <c r="B9" s="3">
        <v>15</v>
      </c>
      <c r="C9" s="3">
        <v>15</v>
      </c>
      <c r="D9" s="3">
        <v>15</v>
      </c>
      <c r="E9" s="3">
        <v>1</v>
      </c>
      <c r="F9" s="3">
        <v>1</v>
      </c>
      <c r="G9" s="3" t="s">
        <v>48</v>
      </c>
      <c r="H9" s="3">
        <v>18</v>
      </c>
      <c r="I9" s="3">
        <v>18</v>
      </c>
      <c r="J9" s="3">
        <v>17</v>
      </c>
      <c r="K9" s="3">
        <v>1</v>
      </c>
      <c r="L9" s="3">
        <v>2</v>
      </c>
      <c r="M9" s="3" t="s">
        <v>48</v>
      </c>
      <c r="N9" s="3">
        <v>28</v>
      </c>
      <c r="O9" s="3">
        <v>26</v>
      </c>
      <c r="P9" s="3">
        <v>25</v>
      </c>
      <c r="Q9" s="3">
        <v>5</v>
      </c>
      <c r="R9" s="3">
        <v>11</v>
      </c>
      <c r="S9" s="3" t="s">
        <v>48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 t="s">
        <v>48</v>
      </c>
      <c r="Z9" s="3">
        <v>15</v>
      </c>
      <c r="AA9" s="3">
        <v>15</v>
      </c>
      <c r="AB9" s="3">
        <v>14</v>
      </c>
      <c r="AC9" s="3">
        <v>2</v>
      </c>
      <c r="AD9" s="3">
        <v>3</v>
      </c>
      <c r="AE9" s="3" t="s">
        <v>48</v>
      </c>
      <c r="AF9" s="3">
        <v>14</v>
      </c>
      <c r="AG9" s="3">
        <v>14</v>
      </c>
      <c r="AH9" s="3">
        <v>14</v>
      </c>
      <c r="AI9" s="3">
        <v>1</v>
      </c>
      <c r="AJ9" s="3">
        <v>1</v>
      </c>
      <c r="AK9" s="3" t="s">
        <v>48</v>
      </c>
      <c r="AL9" s="3">
        <v>22</v>
      </c>
      <c r="AM9" s="3">
        <v>22</v>
      </c>
      <c r="AN9" s="3">
        <v>2</v>
      </c>
      <c r="AO9" s="3">
        <v>0</v>
      </c>
      <c r="AP9" s="3">
        <v>1</v>
      </c>
    </row>
    <row r="10" spans="1:42" x14ac:dyDescent="0.3">
      <c r="A10" s="3" t="s">
        <v>49</v>
      </c>
      <c r="B10" s="3">
        <v>16</v>
      </c>
      <c r="C10" s="3">
        <v>16</v>
      </c>
      <c r="D10" s="3">
        <v>15</v>
      </c>
      <c r="E10" s="3">
        <v>1</v>
      </c>
      <c r="F10" s="3">
        <v>1</v>
      </c>
      <c r="G10" s="3" t="s">
        <v>49</v>
      </c>
      <c r="H10" s="3">
        <v>14</v>
      </c>
      <c r="I10" s="3">
        <v>14</v>
      </c>
      <c r="J10" s="3">
        <v>13</v>
      </c>
      <c r="K10" s="3">
        <v>2</v>
      </c>
      <c r="L10" s="3">
        <v>3</v>
      </c>
      <c r="M10" s="3" t="s">
        <v>49</v>
      </c>
      <c r="N10" s="3">
        <v>31</v>
      </c>
      <c r="O10" s="3">
        <v>28</v>
      </c>
      <c r="P10" s="3">
        <v>29</v>
      </c>
      <c r="Q10" s="3">
        <v>5</v>
      </c>
      <c r="R10" s="3">
        <v>12</v>
      </c>
      <c r="S10" s="3" t="s">
        <v>49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49</v>
      </c>
      <c r="Z10" s="3">
        <v>16</v>
      </c>
      <c r="AA10" s="3">
        <v>16</v>
      </c>
      <c r="AB10" s="3">
        <v>15</v>
      </c>
      <c r="AC10" s="3">
        <v>4</v>
      </c>
      <c r="AD10" s="3">
        <v>3</v>
      </c>
      <c r="AE10" s="3" t="s">
        <v>49</v>
      </c>
      <c r="AF10" s="3">
        <v>14</v>
      </c>
      <c r="AG10" s="3">
        <v>14</v>
      </c>
      <c r="AH10" s="3">
        <v>14</v>
      </c>
      <c r="AI10" s="3">
        <v>2</v>
      </c>
      <c r="AJ10" s="3">
        <v>2</v>
      </c>
      <c r="AK10" s="3" t="s">
        <v>49</v>
      </c>
      <c r="AL10" s="3">
        <v>12</v>
      </c>
      <c r="AM10" s="3">
        <v>12</v>
      </c>
      <c r="AN10" s="3">
        <v>2</v>
      </c>
      <c r="AO10" s="3">
        <v>1</v>
      </c>
      <c r="AP10" s="3">
        <v>2</v>
      </c>
    </row>
    <row r="11" spans="1:42" x14ac:dyDescent="0.3">
      <c r="A11" s="3" t="s">
        <v>50</v>
      </c>
      <c r="B11" s="3">
        <v>6</v>
      </c>
      <c r="C11" s="3">
        <v>6</v>
      </c>
      <c r="D11" s="3">
        <v>5</v>
      </c>
      <c r="E11" s="3">
        <v>1</v>
      </c>
      <c r="F11" s="3">
        <v>1</v>
      </c>
      <c r="G11" s="3" t="s">
        <v>51</v>
      </c>
      <c r="H11" s="3">
        <v>5</v>
      </c>
      <c r="I11" s="3">
        <v>5</v>
      </c>
      <c r="J11" s="3">
        <v>4</v>
      </c>
      <c r="K11" s="3">
        <v>1</v>
      </c>
      <c r="L11" s="3">
        <v>1</v>
      </c>
      <c r="M11" s="3" t="s">
        <v>51</v>
      </c>
      <c r="N11" s="3">
        <v>50</v>
      </c>
      <c r="O11" s="3">
        <v>45</v>
      </c>
      <c r="P11" s="3">
        <v>42</v>
      </c>
      <c r="Q11" s="3">
        <v>10</v>
      </c>
      <c r="R11" s="3">
        <v>13</v>
      </c>
      <c r="S11" s="3" t="s">
        <v>51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 t="s">
        <v>51</v>
      </c>
      <c r="Z11" s="3">
        <v>18</v>
      </c>
      <c r="AA11" s="3">
        <v>18</v>
      </c>
      <c r="AB11" s="3">
        <v>17</v>
      </c>
      <c r="AC11" s="3">
        <v>3</v>
      </c>
      <c r="AD11" s="3">
        <v>4</v>
      </c>
      <c r="AE11" s="3" t="s">
        <v>51</v>
      </c>
      <c r="AF11" s="3">
        <v>14</v>
      </c>
      <c r="AG11" s="3">
        <v>10</v>
      </c>
      <c r="AH11" s="3">
        <v>4</v>
      </c>
      <c r="AI11" s="3">
        <v>1</v>
      </c>
      <c r="AJ11" s="3">
        <v>1</v>
      </c>
      <c r="AK11" s="3" t="s">
        <v>51</v>
      </c>
      <c r="AL11" s="3">
        <v>15</v>
      </c>
      <c r="AM11" s="3">
        <v>14</v>
      </c>
      <c r="AN11" s="3">
        <v>5</v>
      </c>
      <c r="AO11" s="3">
        <v>1</v>
      </c>
      <c r="AP11" s="3">
        <v>2</v>
      </c>
    </row>
    <row r="12" spans="1:42" x14ac:dyDescent="0.3">
      <c r="A12" s="3" t="s">
        <v>52</v>
      </c>
      <c r="B12" s="3">
        <v>14</v>
      </c>
      <c r="C12" s="3">
        <v>14</v>
      </c>
      <c r="D12" s="3">
        <v>14</v>
      </c>
      <c r="E12" s="3">
        <v>1</v>
      </c>
      <c r="F12" s="3">
        <v>2</v>
      </c>
      <c r="G12" s="3" t="s">
        <v>52</v>
      </c>
      <c r="H12" s="3">
        <v>13</v>
      </c>
      <c r="I12" s="3">
        <v>13</v>
      </c>
      <c r="J12" s="3">
        <v>13</v>
      </c>
      <c r="K12" s="3">
        <v>1</v>
      </c>
      <c r="L12" s="3">
        <v>1</v>
      </c>
      <c r="M12" s="3" t="s">
        <v>52</v>
      </c>
      <c r="N12" s="3">
        <v>29</v>
      </c>
      <c r="O12" s="3">
        <v>27</v>
      </c>
      <c r="P12" s="3">
        <v>27</v>
      </c>
      <c r="Q12" s="3">
        <v>5</v>
      </c>
      <c r="R12" s="3">
        <v>11</v>
      </c>
      <c r="S12" s="3" t="s">
        <v>52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 t="s">
        <v>52</v>
      </c>
      <c r="Z12" s="3">
        <v>28</v>
      </c>
      <c r="AA12" s="3">
        <v>28</v>
      </c>
      <c r="AB12" s="3">
        <v>26</v>
      </c>
      <c r="AC12" s="3">
        <v>4</v>
      </c>
      <c r="AD12" s="3">
        <v>5</v>
      </c>
      <c r="AE12" s="3" t="s">
        <v>52</v>
      </c>
      <c r="AF12" s="3">
        <v>17</v>
      </c>
      <c r="AG12" s="3">
        <v>17</v>
      </c>
      <c r="AH12" s="3">
        <v>16</v>
      </c>
      <c r="AI12" s="3">
        <v>2</v>
      </c>
      <c r="AJ12" s="3">
        <v>4</v>
      </c>
      <c r="AK12" s="3" t="s">
        <v>52</v>
      </c>
      <c r="AL12" s="3">
        <v>8</v>
      </c>
      <c r="AM12" s="3">
        <v>8</v>
      </c>
      <c r="AN12" s="3">
        <v>8</v>
      </c>
      <c r="AO12" s="3">
        <v>1</v>
      </c>
      <c r="AP12" s="3">
        <v>2</v>
      </c>
    </row>
  </sheetData>
  <mergeCells count="7">
    <mergeCell ref="AF1:AJ1"/>
    <mergeCell ref="AL1:AP1"/>
    <mergeCell ref="B1:F1"/>
    <mergeCell ref="H1:L1"/>
    <mergeCell ref="N1:R1"/>
    <mergeCell ref="T1:X1"/>
    <mergeCell ref="Z1:A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표본데이터</vt:lpstr>
      <vt:lpstr>산출지수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</dc:creator>
  <cp:lastModifiedBy>민민 성</cp:lastModifiedBy>
  <dcterms:created xsi:type="dcterms:W3CDTF">2026-05-20T10:40:05Z</dcterms:created>
  <dcterms:modified xsi:type="dcterms:W3CDTF">2026-08-02T16:12:16Z</dcterms:modified>
</cp:coreProperties>
</file>