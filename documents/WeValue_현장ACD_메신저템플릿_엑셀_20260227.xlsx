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ds85\Desktop\0227\"/>
    </mc:Choice>
  </mc:AlternateContent>
  <xr:revisionPtr revIDLastSave="0" documentId="13_ncr:1_{E402687E-B518-44C9-95FC-F78473F112C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소통메신저 양식 자동완성" sheetId="2" r:id="rId1"/>
    <sheet name="02_코드목록" sheetId="3" state="hidden" r:id="rId2"/>
  </sheets>
  <calcPr calcId="191029"/>
</workbook>
</file>

<file path=xl/calcChain.xml><?xml version="1.0" encoding="utf-8"?>
<calcChain xmlns="http://schemas.openxmlformats.org/spreadsheetml/2006/main">
  <c r="L5" i="2" l="1"/>
  <c r="H3" i="2"/>
  <c r="B8" i="2" s="1"/>
  <c r="L8" i="2" s="1"/>
  <c r="B5" i="2" l="1"/>
  <c r="B7" i="2"/>
  <c r="L7" i="2" s="1"/>
  <c r="B6" i="2"/>
  <c r="L6" i="2" s="1"/>
</calcChain>
</file>

<file path=xl/sharedStrings.xml><?xml version="1.0" encoding="utf-8"?>
<sst xmlns="http://schemas.openxmlformats.org/spreadsheetml/2006/main" count="54" uniqueCount="53">
  <si>
    <t>A(보고)</t>
  </si>
  <si>
    <t>C(보호기록)</t>
  </si>
  <si>
    <t>D(완료)</t>
  </si>
  <si>
    <t>입력만 하면 복붙 문장이 자동 생성됩니다 (현장 A–C–D + 정보성)</t>
  </si>
  <si>
    <t>구분</t>
  </si>
  <si>
    <t>CaseID</t>
  </si>
  <si>
    <t>긴급도(10/4/12)</t>
  </si>
  <si>
    <t>사유코드</t>
  </si>
  <si>
    <t>현재(상태)</t>
  </si>
  <si>
    <t>4</t>
  </si>
  <si>
    <t>12</t>
  </si>
  <si>
    <t>사용 팁</t>
  </si>
  <si>
    <t>긴급도</t>
  </si>
  <si>
    <t>사유코드(권장)</t>
  </si>
  <si>
    <t>주의</t>
  </si>
  <si>
    <t>10</t>
  </si>
  <si>
    <t>수술중</t>
  </si>
  <si>
    <t>엑셀/웹 문서에는 실제 환자정보 입력 금지. (예시/자리표시자만)</t>
  </si>
  <si>
    <t>시술중</t>
  </si>
  <si>
    <t>회진</t>
  </si>
  <si>
    <t>인계</t>
  </si>
  <si>
    <t>응급상황</t>
  </si>
  <si>
    <t>담당부재</t>
  </si>
  <si>
    <t>정보부족</t>
  </si>
  <si>
    <t>인력부족</t>
  </si>
  <si>
    <t>기타</t>
  </si>
  <si>
    <t>근무종료</t>
  </si>
  <si>
    <t>업무종료</t>
  </si>
  <si>
    <t>익일인계</t>
  </si>
  <si>
    <t>야간전환</t>
  </si>
  <si>
    <t>병실</t>
    <phoneticPr fontId="5" type="noConversion"/>
  </si>
  <si>
    <t>등록번호</t>
    <phoneticPr fontId="5" type="noConversion"/>
  </si>
  <si>
    <t>환자이름</t>
    <phoneticPr fontId="5" type="noConversion"/>
  </si>
  <si>
    <t>교수이름</t>
    <phoneticPr fontId="5" type="noConversion"/>
  </si>
  <si>
    <t>김철수</t>
    <phoneticPr fontId="5" type="noConversion"/>
  </si>
  <si>
    <t>KJS</t>
    <phoneticPr fontId="5" type="noConversion"/>
  </si>
  <si>
    <t>월일(MMDD)</t>
    <phoneticPr fontId="5" type="noConversion"/>
  </si>
  <si>
    <t>0227</t>
    <phoneticPr fontId="5" type="noConversion"/>
  </si>
  <si>
    <t>0030</t>
    <phoneticPr fontId="5" type="noConversion"/>
  </si>
  <si>
    <t>메신저 입력 양식
(복사하여 붙여넣기)</t>
    <phoneticPr fontId="5" type="noConversion"/>
  </si>
  <si>
    <t>CaseID</t>
    <phoneticPr fontId="5" type="noConversion"/>
  </si>
  <si>
    <t>시간(HHMM)</t>
    <phoneticPr fontId="5" type="noConversion"/>
  </si>
  <si>
    <t>시간
(HHMM)</t>
    <phoneticPr fontId="5" type="noConversion"/>
  </si>
  <si>
    <t>지금
(핵심)</t>
    <phoneticPr fontId="5" type="noConversion"/>
  </si>
  <si>
    <t>근거
(데이터)</t>
    <phoneticPr fontId="5" type="noConversion"/>
  </si>
  <si>
    <t>요청
(평가/조치)</t>
    <phoneticPr fontId="5" type="noConversion"/>
  </si>
  <si>
    <t>F/U
(재보고 기준)</t>
    <phoneticPr fontId="5" type="noConversion"/>
  </si>
  <si>
    <t>정보성</t>
    <phoneticPr fontId="5" type="noConversion"/>
  </si>
  <si>
    <t>입원</t>
    <phoneticPr fontId="5" type="noConversion"/>
  </si>
  <si>
    <t>검사</t>
    <phoneticPr fontId="5" type="noConversion"/>
  </si>
  <si>
    <t>자가약</t>
  </si>
  <si>
    <t>양식의 흰색 입력셀에 정보를 입력하면 메신저 입력 양식이 노란 배경색의 셀에 자동으로 생성됩니다. ( "메신저 입력 양식" 셀 )</t>
    <phoneticPr fontId="5" type="noConversion"/>
  </si>
  <si>
    <t>정보성:"지금"목록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</si>
</sst>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Consolas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/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/>
      <right/>
      <top style="thin">
        <color rgb="FF9E9E9E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8" borderId="4" xfId="0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showGridLines="0" tabSelected="1" workbookViewId="0">
      <selection activeCell="F7" sqref="F7"/>
    </sheetView>
  </sheetViews>
  <sheetFormatPr defaultRowHeight="32.25" customHeight="1" x14ac:dyDescent="0.3"/>
  <cols>
    <col min="1" max="1" width="12" style="5" customWidth="1"/>
    <col min="2" max="2" width="26" style="5" customWidth="1"/>
    <col min="3" max="11" width="12.875" style="5" customWidth="1"/>
    <col min="12" max="12" width="100.25" style="5" customWidth="1"/>
    <col min="13" max="16384" width="9" style="5"/>
  </cols>
  <sheetData>
    <row r="1" spans="1:12" ht="32.25" customHeight="1" x14ac:dyDescent="0.3">
      <c r="A1" s="17" t="s">
        <v>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32.25" customHeight="1" x14ac:dyDescent="0.3">
      <c r="A2" s="23"/>
      <c r="B2" s="6" t="s">
        <v>30</v>
      </c>
      <c r="C2" s="6" t="s">
        <v>31</v>
      </c>
      <c r="D2" s="6" t="s">
        <v>32</v>
      </c>
      <c r="E2" s="6" t="s">
        <v>33</v>
      </c>
      <c r="F2" s="6" t="s">
        <v>36</v>
      </c>
      <c r="G2" s="6" t="s">
        <v>41</v>
      </c>
      <c r="H2" s="20" t="s">
        <v>40</v>
      </c>
      <c r="I2" s="21"/>
      <c r="J2" s="21"/>
      <c r="K2" s="22"/>
    </row>
    <row r="3" spans="1:12" ht="32.25" customHeight="1" x14ac:dyDescent="0.3">
      <c r="A3" s="24"/>
      <c r="B3" s="10">
        <v>1311</v>
      </c>
      <c r="C3" s="10">
        <v>12345678</v>
      </c>
      <c r="D3" s="10" t="s">
        <v>34</v>
      </c>
      <c r="E3" s="10" t="s">
        <v>35</v>
      </c>
      <c r="F3" s="11" t="s">
        <v>37</v>
      </c>
      <c r="G3" s="11" t="s">
        <v>38</v>
      </c>
      <c r="H3" s="19" t="str">
        <f>"["&amp;B3&amp;"]-["&amp;C3&amp;"]-["&amp;D3&amp;"]-["&amp;E3&amp;"]-["&amp;TEXT(F3,"0000")&amp;"]-["&amp;TEXT(G3,"0000")&amp;"]"</f>
        <v>[1311]-[12345678]-[김철수]-[KJS]-[0227]-[0030]</v>
      </c>
      <c r="I3" s="19"/>
      <c r="J3" s="19"/>
      <c r="K3" s="19"/>
    </row>
    <row r="4" spans="1:12" ht="32.25" customHeight="1" x14ac:dyDescent="0.3">
      <c r="A4" s="3" t="s">
        <v>4</v>
      </c>
      <c r="B4" s="7" t="s">
        <v>5</v>
      </c>
      <c r="C4" s="7"/>
      <c r="D4" s="7" t="s">
        <v>6</v>
      </c>
      <c r="E4" s="7" t="s">
        <v>43</v>
      </c>
      <c r="F4" s="7" t="s">
        <v>44</v>
      </c>
      <c r="G4" s="7" t="s">
        <v>45</v>
      </c>
      <c r="H4" s="3" t="s">
        <v>7</v>
      </c>
      <c r="I4" s="3" t="s">
        <v>42</v>
      </c>
      <c r="J4" s="3" t="s">
        <v>8</v>
      </c>
      <c r="K4" s="3" t="s">
        <v>46</v>
      </c>
      <c r="L4" s="3" t="s">
        <v>39</v>
      </c>
    </row>
    <row r="5" spans="1:12" ht="32.25" customHeight="1" x14ac:dyDescent="0.3">
      <c r="A5" s="1" t="s">
        <v>0</v>
      </c>
      <c r="B5" s="8" t="str">
        <f>$H$3</f>
        <v>[1311]-[12345678]-[김철수]-[KJS]-[0227]-[0030]</v>
      </c>
      <c r="C5" s="13"/>
      <c r="D5" s="12"/>
      <c r="E5" s="12"/>
      <c r="F5" s="12"/>
      <c r="G5" s="12"/>
      <c r="H5" s="13"/>
      <c r="I5" s="13"/>
      <c r="J5" s="13"/>
      <c r="K5" s="13"/>
      <c r="L5" s="9" t="str">
        <f>IF(B5="","", "[A]"&amp;B5&amp;" / 지금:"&amp;E5&amp;" / 근거:"&amp;F5&amp;" / 요청:"&amp;G5&amp;" / "&amp;D5)</f>
        <v xml:space="preserve">[A][1311]-[12345678]-[김철수]-[KJS]-[0227]-[0030] / 지금: / 근거: / 요청: / </v>
      </c>
    </row>
    <row r="6" spans="1:12" ht="32.25" customHeight="1" x14ac:dyDescent="0.3">
      <c r="A6" s="1" t="s">
        <v>1</v>
      </c>
      <c r="B6" s="8" t="str">
        <f t="shared" ref="B6:B8" si="0">$H$3</f>
        <v>[1311]-[12345678]-[김철수]-[KJS]-[0227]-[0030]</v>
      </c>
      <c r="C6" s="13"/>
      <c r="D6" s="13"/>
      <c r="E6" s="13"/>
      <c r="F6" s="13"/>
      <c r="G6" s="13"/>
      <c r="H6" s="12" t="s">
        <v>20</v>
      </c>
      <c r="I6" s="12">
        <v>1203</v>
      </c>
      <c r="J6" s="13"/>
      <c r="K6" s="13"/>
      <c r="L6" s="9" t="str">
        <f>IF(B6="","", "[C]"&amp;B6&amp;" / "&amp;IF(H6="","{사유코드}",H6)&amp;" / 다음확인 "&amp;I6&amp;" (전화 1회 후)")</f>
        <v>[C][1311]-[12345678]-[김철수]-[KJS]-[0227]-[0030] / 인계 / 다음확인 1203 (전화 1회 후)</v>
      </c>
    </row>
    <row r="7" spans="1:12" ht="32.25" customHeight="1" x14ac:dyDescent="0.3">
      <c r="A7" s="1" t="s">
        <v>2</v>
      </c>
      <c r="B7" s="8" t="str">
        <f t="shared" si="0"/>
        <v>[1311]-[12345678]-[김철수]-[KJS]-[0227]-[0030]</v>
      </c>
      <c r="C7" s="13"/>
      <c r="D7" s="13"/>
      <c r="E7" s="12"/>
      <c r="F7" s="13"/>
      <c r="G7" s="13"/>
      <c r="H7" s="13"/>
      <c r="I7" s="13"/>
      <c r="J7" s="12"/>
      <c r="K7" s="12"/>
      <c r="L7" s="9" t="str">
        <f>IF(B7="","", "[D]"&amp;B7&amp;" / 결과:"&amp;E7&amp;" / 현재:"&amp;J7&amp;" / F/U:"&amp;K7)</f>
        <v>[D][1311]-[12345678]-[김철수]-[KJS]-[0227]-[0030] / 결과: / 현재: / F/U:</v>
      </c>
    </row>
    <row r="8" spans="1:12" ht="32.25" customHeight="1" x14ac:dyDescent="0.3">
      <c r="A8" s="1" t="s">
        <v>47</v>
      </c>
      <c r="B8" s="8" t="str">
        <f t="shared" si="0"/>
        <v>[1311]-[12345678]-[김철수]-[KJS]-[0227]-[0030]</v>
      </c>
      <c r="C8" s="13"/>
      <c r="D8" s="13"/>
      <c r="E8" s="14"/>
      <c r="F8" s="13"/>
      <c r="G8" s="13"/>
      <c r="H8" s="13"/>
      <c r="I8" s="13"/>
      <c r="J8" s="13"/>
      <c r="K8" s="13"/>
      <c r="L8" s="9" t="str">
        <f>IF(B8="","", "(보고)"&amp;B8&amp;"/"&amp;E8&amp;IF(E8="","","/")&amp;"12")</f>
        <v>(보고)[1311]-[12345678]-[김철수]-[KJS]-[0227]-[0030]/12</v>
      </c>
    </row>
    <row r="10" spans="1:12" ht="32.25" customHeight="1" x14ac:dyDescent="0.3">
      <c r="A10" s="2" t="s">
        <v>11</v>
      </c>
      <c r="B10" s="15" t="s">
        <v>51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</row>
  </sheetData>
  <mergeCells count="5">
    <mergeCell ref="B10:L10"/>
    <mergeCell ref="A1:L1"/>
    <mergeCell ref="H3:K3"/>
    <mergeCell ref="H2:K2"/>
    <mergeCell ref="A2:A3"/>
  </mergeCells>
  <phoneticPr fontId="5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'02_코드목록'!$A$2:$A$4</xm:f>
          </x14:formula1>
          <xm:sqref>D5 D8</xm:sqref>
        </x14:dataValidation>
        <x14:dataValidation type="list" allowBlank="1" xr:uid="{00000000-0002-0000-0100-000001000000}">
          <x14:formula1>
            <xm:f>'02_코드목록'!$B$2:$B$14</xm:f>
          </x14:formula1>
          <xm:sqref>H5:H7</xm:sqref>
        </x14:dataValidation>
        <x14:dataValidation type="list" allowBlank="1" showInputMessage="1" showErrorMessage="1" xr:uid="{72FFAC11-A338-427E-AF73-F7D83A85893C}">
          <x14:formula1>
            <xm:f>'02_코드목록'!$G$2:$G$4</xm:f>
          </x14:formula1>
          <xm:sqref>E8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showGridLines="0" workbookViewId="0">
      <selection activeCell="G1" sqref="G1"/>
    </sheetView>
  </sheetViews>
  <sheetFormatPr defaultRowHeight="16.5" x14ac:dyDescent="0.3"/>
  <cols>
    <col min="1" max="1" width="12" customWidth="1"/>
    <col min="2" max="2" width="18" customWidth="1"/>
    <col min="3" max="3" width="2" customWidth="1"/>
    <col min="7" max="7" width="17.25" bestFit="1" customWidth="1"/>
  </cols>
  <sheetData>
    <row r="1" spans="1:7" x14ac:dyDescent="0.3">
      <c r="A1" s="4" t="s">
        <v>12</v>
      </c>
      <c r="B1" s="4" t="s">
        <v>13</v>
      </c>
      <c r="D1" s="4" t="s">
        <v>14</v>
      </c>
      <c r="G1" t="s">
        <v>52</v>
      </c>
    </row>
    <row r="2" spans="1:7" x14ac:dyDescent="0.3">
      <c r="A2" t="s">
        <v>15</v>
      </c>
      <c r="B2" t="s">
        <v>16</v>
      </c>
      <c r="D2" s="25" t="s">
        <v>17</v>
      </c>
      <c r="E2" s="26"/>
      <c r="F2" s="26"/>
      <c r="G2" s="5" t="s">
        <v>48</v>
      </c>
    </row>
    <row r="3" spans="1:7" x14ac:dyDescent="0.3">
      <c r="A3" t="s">
        <v>9</v>
      </c>
      <c r="B3" t="s">
        <v>18</v>
      </c>
      <c r="D3" s="26"/>
      <c r="E3" s="26"/>
      <c r="F3" s="26"/>
      <c r="G3" s="5" t="s">
        <v>49</v>
      </c>
    </row>
    <row r="4" spans="1:7" x14ac:dyDescent="0.3">
      <c r="A4" t="s">
        <v>10</v>
      </c>
      <c r="B4" t="s">
        <v>19</v>
      </c>
      <c r="D4" s="26"/>
      <c r="E4" s="26"/>
      <c r="F4" s="26"/>
      <c r="G4" s="5" t="s">
        <v>50</v>
      </c>
    </row>
    <row r="5" spans="1:7" x14ac:dyDescent="0.3">
      <c r="B5" t="s">
        <v>20</v>
      </c>
    </row>
    <row r="6" spans="1:7" x14ac:dyDescent="0.3">
      <c r="B6" t="s">
        <v>21</v>
      </c>
    </row>
    <row r="7" spans="1:7" x14ac:dyDescent="0.3">
      <c r="B7" t="s">
        <v>22</v>
      </c>
    </row>
    <row r="8" spans="1:7" x14ac:dyDescent="0.3">
      <c r="B8" t="s">
        <v>23</v>
      </c>
    </row>
    <row r="9" spans="1:7" x14ac:dyDescent="0.3">
      <c r="B9" t="s">
        <v>24</v>
      </c>
    </row>
    <row r="10" spans="1:7" x14ac:dyDescent="0.3">
      <c r="B10" t="s">
        <v>25</v>
      </c>
    </row>
    <row r="11" spans="1:7" x14ac:dyDescent="0.3">
      <c r="B11" t="s">
        <v>26</v>
      </c>
    </row>
    <row r="12" spans="1:7" x14ac:dyDescent="0.3">
      <c r="B12" t="s">
        <v>27</v>
      </c>
    </row>
    <row r="13" spans="1:7" x14ac:dyDescent="0.3">
      <c r="B13" t="s">
        <v>28</v>
      </c>
    </row>
    <row r="14" spans="1:7" x14ac:dyDescent="0.3">
      <c r="B14" t="s">
        <v>29</v>
      </c>
    </row>
  </sheetData>
  <mergeCells count="1">
    <mergeCell ref="D2:F4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소통메신저 양식 자동완성</vt:lpstr>
      <vt:lpstr>02_코드목록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성민 임</cp:lastModifiedBy>
  <dcterms:created xsi:type="dcterms:W3CDTF">2026-02-27T14:01:13Z</dcterms:created>
  <dcterms:modified xsi:type="dcterms:W3CDTF">2026-03-04T13:19:07Z</dcterms:modified>
</cp:coreProperties>
</file>