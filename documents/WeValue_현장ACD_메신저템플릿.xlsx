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rahee\Desktop\GitHub동기화폴더\2026-QI\documents\"/>
    </mc:Choice>
  </mc:AlternateContent>
  <xr:revisionPtr revIDLastSave="0" documentId="13_ncr:1_{8AEA8F8F-03A0-499B-B85A-D96A9684CFB6}" xr6:coauthVersionLast="36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소통메신저 양식 자동완성" sheetId="2" r:id="rId1"/>
    <sheet name="02_코드목록" sheetId="3" state="hidden" r:id="rId2"/>
  </sheets>
  <calcPr calcId="191029"/>
</workbook>
</file>

<file path=xl/calcChain.xml><?xml version="1.0" encoding="utf-8"?>
<calcChain xmlns="http://schemas.openxmlformats.org/spreadsheetml/2006/main">
  <c r="H3" i="2" l="1"/>
  <c r="G3" i="2"/>
  <c r="I3" i="2" l="1"/>
  <c r="K11" i="2" s="1"/>
  <c r="K7" i="2" l="1"/>
  <c r="K8" i="2"/>
  <c r="K5" i="2"/>
  <c r="K9" i="2"/>
  <c r="K6" i="2"/>
</calcChain>
</file>

<file path=xl/sharedStrings.xml><?xml version="1.0" encoding="utf-8"?>
<sst xmlns="http://schemas.openxmlformats.org/spreadsheetml/2006/main" count="79" uniqueCount="77">
  <si>
    <t>A(보고)</t>
  </si>
  <si>
    <t>D(완료)</t>
  </si>
  <si>
    <t>구분</t>
  </si>
  <si>
    <t>긴급도(10/4/12)</t>
  </si>
  <si>
    <t>사유코드</t>
  </si>
  <si>
    <t>현재(상태)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</si>
  <si>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</si>
  <si>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</si>
  <si>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</si>
  <si>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</si>
  <si>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</si>
  <si>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</si>
  <si>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</si>
  <si>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</si>
  <si>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</si>
  <si>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</si>
  <si>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</si>
  <si>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</si>
  <si>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</si>
  <si>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</si>
  <si>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</si>
  <si>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5" type="noConversion"/>
  </si>
  <si>
    <t>등록번호</t>
    <phoneticPr fontId="5" type="noConversion"/>
  </si>
  <si>
    <t>환자이름</t>
    <phoneticPr fontId="5" type="noConversion"/>
  </si>
  <si>
    <t>교수이름</t>
    <phoneticPr fontId="5" type="noConversion"/>
  </si>
  <si>
    <t>월일(MMDD)</t>
    <phoneticPr fontId="5" type="noConversion"/>
  </si>
  <si>
    <t>메신저 입력 양식
(복사하여 붙여넣기)</t>
    <phoneticPr fontId="5" type="noConversion"/>
  </si>
  <si>
    <t>CaseID</t>
    <phoneticPr fontId="5" type="noConversion"/>
  </si>
  <si>
    <t>시간(HHMM)</t>
    <phoneticPr fontId="5" type="noConversion"/>
  </si>
  <si>
    <t>시간
(HHMM)</t>
    <phoneticPr fontId="5" type="noConversion"/>
  </si>
  <si>
    <t>지금
(핵심)</t>
    <phoneticPr fontId="5" type="noConversion"/>
  </si>
  <si>
    <t>근거
(데이터)</t>
    <phoneticPr fontId="5" type="noConversion"/>
  </si>
  <si>
    <t>요청
(평가/조치)</t>
    <phoneticPr fontId="5" type="noConversion"/>
  </si>
  <si>
    <t>F/U
(재보고 기준)</t>
    <phoneticPr fontId="5" type="noConversion"/>
  </si>
  <si>
    <t>정보성</t>
    <phoneticPr fontId="5" type="noConversion"/>
  </si>
  <si>
    <t>입원</t>
    <phoneticPr fontId="5" type="noConversion"/>
  </si>
  <si>
    <t>검사</t>
    <phoneticPr fontId="5" type="noConversion"/>
  </si>
  <si>
    <t>자가약</t>
  </si>
  <si>
    <t>정보성:"지금"목록</t>
    <phoneticPr fontId="5" type="noConversion"/>
  </si>
  <si>
    <t>사용 팁 : 양식의 흰색 입력셀에 정보를 입력하면 메신저 입력 양식이 노란 배경색의 셀에 자동으로 생성됩니다. ( "메신저 입력 양식" 셀 )</t>
    <phoneticPr fontId="5" type="noConversion"/>
  </si>
  <si>
    <t>가나다</t>
    <phoneticPr fontId="5" type="noConversion"/>
  </si>
  <si>
    <t>WeValue 현장ACD 메신저 템플릿</t>
    <phoneticPr fontId="5" type="noConversion"/>
  </si>
  <si>
    <t>14층 코드</t>
    <phoneticPr fontId="5" type="noConversion"/>
  </si>
  <si>
    <t>[CHEMO]</t>
  </si>
  <si>
    <t>항암 특화</t>
  </si>
  <si>
    <t>[BLOOD]</t>
  </si>
  <si>
    <t>수혈 및 혈액</t>
  </si>
  <si>
    <t>[CVR]</t>
  </si>
  <si>
    <t>[LIFE]</t>
  </si>
  <si>
    <t>존엄 및 임종 (LST/DNR)</t>
  </si>
  <si>
    <t>[MEET]</t>
  </si>
  <si>
    <t>보호자 면담</t>
  </si>
  <si>
    <t>[MARROW]</t>
  </si>
  <si>
    <t>골수 검사</t>
  </si>
  <si>
    <t>[ISO]</t>
  </si>
  <si>
    <t>격리 및 역격리</t>
  </si>
  <si>
    <t>엑셀/웹 문서에는 실제 환자정보 입력 금지. (예시/자리표시자만)</t>
    <phoneticPr fontId="5" type="noConversion"/>
  </si>
  <si>
    <t>위험 수치 및 Lab (Critical Value Report)</t>
  </si>
  <si>
    <t>[C-Status]</t>
  </si>
  <si>
    <t>상태 변화 (Condition Status)</t>
  </si>
  <si>
    <t>[PAIN]</t>
  </si>
  <si>
    <t>통증 조절 (Pain Management)</t>
  </si>
  <si>
    <t>[OUT]</t>
  </si>
  <si>
    <t>퇴원·전과·사망 관리 (Discharge/Death)</t>
  </si>
  <si>
    <t>141W,142W 전용
"하이패스" 태그</t>
    <phoneticPr fontId="5" type="noConversion"/>
  </si>
  <si>
    <t>IN-OUT(인계)</t>
    <phoneticPr fontId="5" type="noConversion"/>
  </si>
  <si>
    <t>C(보호기록)-PA</t>
    <phoneticPr fontId="5" type="noConversion"/>
  </si>
  <si>
    <t>C(보호기록)-병동</t>
    <phoneticPr fontId="5" type="noConversion"/>
  </si>
  <si>
    <t>사유코드(권장)-PA</t>
    <phoneticPr fontId="5" type="noConversion"/>
  </si>
  <si>
    <t>사유코드(권장)-병동</t>
    <phoneticPr fontId="5" type="noConversion"/>
  </si>
  <si>
    <t>확인</t>
    <phoneticPr fontId="5" type="noConversion"/>
  </si>
  <si>
    <t>처방확인</t>
    <phoneticPr fontId="5" type="noConversion"/>
  </si>
  <si>
    <t>박OO</t>
    <phoneticPr fontId="5" type="noConversion"/>
  </si>
  <si>
    <t>야간이음기록</t>
    <phoneticPr fontId="5" type="noConversion"/>
  </si>
  <si>
    <t>지금</t>
    <phoneticPr fontId="5" type="noConversion"/>
  </si>
  <si>
    <t>조치</t>
    <phoneticPr fontId="5" type="noConversion"/>
  </si>
  <si>
    <t>[D]현재상태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</si>
</sst>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9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Consolas"/>
    </font>
    <font>
      <sz val="8"/>
      <name val="맑은 고딕"/>
      <family val="3"/>
      <charset val="129"/>
      <scheme val="minor"/>
    </font>
    <font>
      <b/>
      <sz val="20"/>
      <color rgb="FFFFFFFF"/>
      <name val="맑은 고딕"/>
      <family val="3"/>
      <charset val="129"/>
    </font>
    <font>
      <b/>
      <sz val="11"/>
      <color rgb="FFFFFF00"/>
      <name val="맑은 고딕"/>
      <family val="3"/>
      <charset val="129"/>
    </font>
    <font>
      <b/>
      <sz val="11"/>
      <color theme="0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/>
      <diagonal/>
    </border>
    <border>
      <left/>
      <right/>
      <top/>
      <bottom style="thin">
        <color rgb="FF9E9E9E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rgb="FF9E9E9E"/>
      </top>
      <bottom style="thin">
        <color theme="0" tint="-0.499984740745262"/>
      </bottom>
      <diagonal/>
    </border>
    <border>
      <left/>
      <right/>
      <top style="thin">
        <color rgb="FF9E9E9E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rgb="FF9E9E9E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rgb="FF9E9E9E"/>
      </bottom>
      <diagonal/>
    </border>
    <border>
      <left/>
      <right style="thin">
        <color theme="0" tint="-0.499984740745262"/>
      </right>
      <top/>
      <bottom style="thin">
        <color rgb="FF9E9E9E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178" fontId="0" fillId="5" borderId="4" xfId="0" applyNumberFormat="1" applyFill="1" applyBorder="1" applyAlignment="1">
      <alignment horizontal="center" vertical="center"/>
    </xf>
    <xf numFmtId="177" fontId="0" fillId="5" borderId="4" xfId="0" applyNumberForma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4" fillId="6" borderId="4" xfId="0" applyFont="1" applyFill="1" applyBorder="1" applyAlignment="1">
      <alignment vertical="center" wrapText="1"/>
    </xf>
    <xf numFmtId="22" fontId="0" fillId="5" borderId="4" xfId="0" applyNumberFormat="1" applyFill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176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176" fontId="6" fillId="2" borderId="2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K13"/>
  <sheetViews>
    <sheetView showGridLines="0" tabSelected="1" workbookViewId="0">
      <selection activeCell="K11" sqref="K11"/>
    </sheetView>
  </sheetViews>
  <sheetFormatPr defaultRowHeight="26.25" customHeight="1" x14ac:dyDescent="0.3"/>
  <cols>
    <col min="1" max="1" width="19.375" style="1" customWidth="1"/>
    <col min="2" max="2" width="21.875" style="1" customWidth="1"/>
    <col min="3" max="3" width="16.625" style="1" bestFit="1" customWidth="1"/>
    <col min="4" max="4" width="9.5" style="1" bestFit="1" customWidth="1"/>
    <col min="5" max="5" width="9.25" style="1" bestFit="1" customWidth="1"/>
    <col min="6" max="6" width="11.5" style="1" bestFit="1" customWidth="1"/>
    <col min="7" max="7" width="13.25" style="1" bestFit="1" customWidth="1"/>
    <col min="8" max="8" width="13.625" style="1" bestFit="1" customWidth="1"/>
    <col min="9" max="9" width="10.5" style="1" bestFit="1" customWidth="1"/>
    <col min="10" max="10" width="22.125" style="1" customWidth="1"/>
    <col min="11" max="11" width="96.125" style="1" bestFit="1" customWidth="1"/>
    <col min="12" max="12" width="100.25" style="1" customWidth="1"/>
    <col min="13" max="16384" width="9" style="1"/>
  </cols>
  <sheetData>
    <row r="1" spans="1:11" ht="66.75" customHeight="1" x14ac:dyDescent="0.3">
      <c r="A1" s="24" t="s">
        <v>41</v>
      </c>
      <c r="B1" s="24"/>
      <c r="C1" s="25"/>
      <c r="D1" s="25"/>
      <c r="E1" s="25"/>
      <c r="F1" s="25"/>
      <c r="G1" s="25"/>
      <c r="H1" s="25"/>
      <c r="I1" s="25"/>
      <c r="J1" s="25"/>
      <c r="K1" s="25"/>
    </row>
    <row r="2" spans="1:11" ht="26.25" customHeight="1" x14ac:dyDescent="0.3">
      <c r="A2" s="21"/>
      <c r="B2" s="21"/>
      <c r="C2" s="7" t="s">
        <v>21</v>
      </c>
      <c r="D2" s="7" t="s">
        <v>22</v>
      </c>
      <c r="E2" s="7" t="s">
        <v>23</v>
      </c>
      <c r="F2" s="7" t="s">
        <v>24</v>
      </c>
      <c r="G2" s="7" t="s">
        <v>25</v>
      </c>
      <c r="H2" s="7" t="s">
        <v>28</v>
      </c>
      <c r="I2" s="22" t="s">
        <v>27</v>
      </c>
      <c r="J2" s="22"/>
      <c r="K2" s="22"/>
    </row>
    <row r="3" spans="1:11" ht="26.25" customHeight="1" x14ac:dyDescent="0.3">
      <c r="A3" s="22"/>
      <c r="B3" s="22"/>
      <c r="C3" s="11">
        <v>1311</v>
      </c>
      <c r="D3" s="11">
        <v>12345678</v>
      </c>
      <c r="E3" s="11" t="s">
        <v>40</v>
      </c>
      <c r="F3" s="11" t="s">
        <v>72</v>
      </c>
      <c r="G3" s="12" t="str">
        <f ca="1">TEXT(NOW(), "mmdd")</f>
        <v>0315</v>
      </c>
      <c r="H3" s="13" t="str">
        <f ca="1">TEXT(NOW(), "hhmm")</f>
        <v>0003</v>
      </c>
      <c r="I3" s="23" t="str">
        <f ca="1">"["&amp;C3&amp;"]-["&amp;D3&amp;"]-["&amp;E3&amp;"]-["&amp;F3&amp;"]-["&amp;TEXT(G3,"0000")&amp;"]-["&amp;TEXT(H3,"0000")&amp;"]"</f>
        <v>[1311]-[12345678]-[가나다]-[박OO]-[0315]-[0003]</v>
      </c>
      <c r="J3" s="23"/>
      <c r="K3" s="23"/>
    </row>
    <row r="4" spans="1:11" ht="22.5" customHeight="1" x14ac:dyDescent="0.3">
      <c r="A4" s="7" t="s">
        <v>2</v>
      </c>
      <c r="B4" s="14" t="s">
        <v>64</v>
      </c>
      <c r="C4" s="7" t="s">
        <v>3</v>
      </c>
      <c r="D4" s="7" t="s">
        <v>30</v>
      </c>
      <c r="E4" s="7" t="s">
        <v>31</v>
      </c>
      <c r="F4" s="7" t="s">
        <v>32</v>
      </c>
      <c r="G4" s="7" t="s">
        <v>4</v>
      </c>
      <c r="H4" s="7" t="s">
        <v>29</v>
      </c>
      <c r="I4" s="7" t="s">
        <v>5</v>
      </c>
      <c r="J4" s="7" t="s">
        <v>33</v>
      </c>
      <c r="K4" s="7" t="s">
        <v>26</v>
      </c>
    </row>
    <row r="5" spans="1:11" ht="22.5" customHeight="1" x14ac:dyDescent="0.3">
      <c r="A5" s="15" t="s">
        <v>0</v>
      </c>
      <c r="B5" s="16"/>
      <c r="C5" s="16">
        <v>12</v>
      </c>
      <c r="D5" s="16"/>
      <c r="E5" s="16"/>
      <c r="F5" s="16"/>
      <c r="G5" s="17"/>
      <c r="H5" s="17"/>
      <c r="I5" s="17"/>
      <c r="J5" s="17"/>
      <c r="K5" s="18" t="str">
        <f ca="1">B5&amp;IF($I$3="","", "[A]"&amp;$I$3&amp;" / 지금:"&amp;D5&amp;" / 근거:"&amp;E5&amp;" / 요청:"&amp;F5&amp;" / "&amp;C5)</f>
        <v>[A][1311]-[12345678]-[가나다]-[박OO]-[0315]-[0003] / 지금: / 근거: / 요청: / 12</v>
      </c>
    </row>
    <row r="6" spans="1:11" ht="22.5" customHeight="1" x14ac:dyDescent="0.3">
      <c r="A6" s="15" t="s">
        <v>66</v>
      </c>
      <c r="B6" s="17"/>
      <c r="C6" s="17"/>
      <c r="D6" s="19"/>
      <c r="E6" s="17"/>
      <c r="F6" s="17"/>
      <c r="G6" s="16"/>
      <c r="H6" s="16"/>
      <c r="I6" s="17"/>
      <c r="J6" s="17"/>
      <c r="K6" s="18" t="str">
        <f ca="1">IF($I$3="","", "[C]"&amp;$I$3&amp;" / "&amp;IF(G6="","{사유코드}",G6)&amp;" / 다음확인 "&amp;H6&amp;" (전화 1회 후)")</f>
        <v>[C][1311]-[12345678]-[가나다]-[박OO]-[0315]-[0003] / {사유코드} / 다음확인  (전화 1회 후)</v>
      </c>
    </row>
    <row r="7" spans="1:11" ht="22.5" customHeight="1" x14ac:dyDescent="0.3">
      <c r="A7" s="15" t="s">
        <v>67</v>
      </c>
      <c r="B7" s="17"/>
      <c r="C7" s="17"/>
      <c r="D7" s="19"/>
      <c r="E7" s="17"/>
      <c r="F7" s="17"/>
      <c r="G7" s="20"/>
      <c r="H7" s="16"/>
      <c r="I7" s="17"/>
      <c r="J7" s="17"/>
      <c r="K7" s="18" t="str">
        <f ca="1">IF($I$3="","", "[C]"&amp;$I$3&amp;" / "&amp;IF(G7="","{사유코드}",G7)&amp;" / 다음확인 "&amp;H7&amp;" (전화 1회 후)")</f>
        <v>[C][1311]-[12345678]-[가나다]-[박OO]-[0315]-[0003] / {사유코드} / 다음확인  (전화 1회 후)</v>
      </c>
    </row>
    <row r="8" spans="1:11" ht="22.5" customHeight="1" x14ac:dyDescent="0.3">
      <c r="A8" s="15" t="s">
        <v>1</v>
      </c>
      <c r="B8" s="17"/>
      <c r="C8" s="17"/>
      <c r="D8" s="16" t="s">
        <v>70</v>
      </c>
      <c r="E8" s="17"/>
      <c r="F8" s="17"/>
      <c r="G8" s="17"/>
      <c r="H8" s="17"/>
      <c r="I8" s="16" t="s">
        <v>71</v>
      </c>
      <c r="J8" s="16"/>
      <c r="K8" s="18" t="str">
        <f ca="1">IF($I$3="","", "[D]"&amp;$I$3&amp;" / 결과:"&amp;D8&amp;" / 현재:"&amp;I8&amp;" / F/U:"&amp;J8)</f>
        <v>[D][1311]-[12345678]-[가나다]-[박OO]-[0315]-[0003] / 결과:확인 / 현재:처방확인 / F/U:</v>
      </c>
    </row>
    <row r="9" spans="1:11" ht="22.5" customHeight="1" x14ac:dyDescent="0.3">
      <c r="A9" s="15" t="s">
        <v>34</v>
      </c>
      <c r="B9" s="17"/>
      <c r="C9" s="17"/>
      <c r="D9" s="20"/>
      <c r="E9" s="17"/>
      <c r="F9" s="17"/>
      <c r="G9" s="17"/>
      <c r="H9" s="17"/>
      <c r="I9" s="17"/>
      <c r="J9" s="17"/>
      <c r="K9" s="18" t="str">
        <f ca="1">IF($I$3="","", "(보고)"&amp;$I$3&amp;"/"&amp;D9&amp;IF(D9="","","/")&amp;"12")</f>
        <v>(보고)[1311]-[12345678]-[가나다]-[박OO]-[0315]-[0003]/12</v>
      </c>
    </row>
    <row r="10" spans="1:11" ht="22.5" customHeight="1" x14ac:dyDescent="0.3">
      <c r="A10" s="7" t="s">
        <v>2</v>
      </c>
      <c r="B10" s="29" t="s">
        <v>74</v>
      </c>
      <c r="C10" s="29"/>
      <c r="D10" s="22" t="s">
        <v>75</v>
      </c>
      <c r="E10" s="22"/>
      <c r="F10" s="22"/>
      <c r="G10" s="22"/>
      <c r="H10" s="22" t="s">
        <v>76</v>
      </c>
      <c r="I10" s="22"/>
      <c r="J10" s="22"/>
      <c r="K10" s="7"/>
    </row>
    <row r="11" spans="1:11" ht="22.5" customHeight="1" x14ac:dyDescent="0.3">
      <c r="A11" s="15" t="s">
        <v>73</v>
      </c>
      <c r="B11" s="31"/>
      <c r="C11" s="32"/>
      <c r="D11" s="30"/>
      <c r="E11" s="30"/>
      <c r="F11" s="30"/>
      <c r="G11" s="30"/>
      <c r="H11" s="30"/>
      <c r="I11" s="30"/>
      <c r="J11" s="30"/>
      <c r="K11" s="18" t="str">
        <f ca="1">IF($I$3="","", "[A][야간이음기록]"&amp;$I$3&amp;"/지금:"&amp;B11&amp;"/조치:"&amp;D11&amp;"/[D]"&amp;D11&amp;H11)</f>
        <v>[A][야간이음기록][1311]-[12345678]-[가나다]-[박OO]-[0315]-[0003]/지금:/조치:/[D]</v>
      </c>
    </row>
    <row r="12" spans="1:11" ht="26.25" customHeight="1" x14ac:dyDescent="0.3">
      <c r="A12" s="9"/>
      <c r="B12" s="8"/>
      <c r="C12" s="8"/>
      <c r="D12" s="8"/>
      <c r="E12" s="8"/>
      <c r="F12" s="8"/>
      <c r="G12" s="8"/>
      <c r="H12" s="8"/>
      <c r="I12" s="8"/>
      <c r="J12" s="8"/>
      <c r="K12" s="10"/>
    </row>
    <row r="13" spans="1:11" ht="26.25" customHeight="1" x14ac:dyDescent="0.3">
      <c r="A13" s="26" t="s">
        <v>39</v>
      </c>
      <c r="B13" s="27"/>
      <c r="C13" s="27"/>
      <c r="D13" s="27"/>
      <c r="E13" s="27"/>
      <c r="F13" s="27"/>
      <c r="G13" s="27"/>
      <c r="H13" s="27"/>
      <c r="I13" s="27"/>
      <c r="J13" s="27"/>
      <c r="K13" s="28"/>
    </row>
  </sheetData>
  <mergeCells count="12">
    <mergeCell ref="A2:A3"/>
    <mergeCell ref="I3:K3"/>
    <mergeCell ref="I2:K2"/>
    <mergeCell ref="A1:K1"/>
    <mergeCell ref="A13:K13"/>
    <mergeCell ref="B2:B3"/>
    <mergeCell ref="B10:C10"/>
    <mergeCell ref="D10:G10"/>
    <mergeCell ref="H10:J10"/>
    <mergeCell ref="D11:G11"/>
    <mergeCell ref="H11:J11"/>
    <mergeCell ref="B11:C11"/>
  </mergeCells>
  <phoneticPr fontId="5" type="noConversion"/>
  <conditionalFormatting sqref="B5:C5">
    <cfRule type="expression" dxfId="2" priority="1">
      <formula>B5=12</formula>
    </cfRule>
    <cfRule type="expression" dxfId="1" priority="2">
      <formula>B5=4</formula>
    </cfRule>
    <cfRule type="expression" dxfId="0" priority="3">
      <formula>B5=10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'02_코드목록'!$A$2:$A$4</xm:f>
          </x14:formula1>
          <xm:sqref>C5 C9</xm:sqref>
        </x14:dataValidation>
        <x14:dataValidation type="list" allowBlank="1" xr:uid="{00000000-0002-0000-0100-000001000000}">
          <x14:formula1>
            <xm:f>'02_코드목록'!$B$2:$B$14</xm:f>
          </x14:formula1>
          <xm:sqref>G5 G8</xm:sqref>
        </x14:dataValidation>
        <x14:dataValidation type="list" allowBlank="1" showInputMessage="1" showErrorMessage="1" xr:uid="{72FFAC11-A338-427E-AF73-F7D83A85893C}">
          <x14:formula1>
            <xm:f>'02_코드목록'!$J$2:$J$4</xm:f>
          </x14:formula1>
          <xm:sqref>D9</xm:sqref>
        </x14:dataValidation>
        <x14:dataValidation type="list" allowBlank="1" showInputMessage="1" showErrorMessage="1" xr:uid="{54F24218-F1A5-4C39-A88F-EBBD79DE5CE8}">
          <x14:formula1>
            <xm:f>'02_코드목록'!$L$2:$L$11</xm:f>
          </x14:formula1>
          <xm:sqref>B5</xm:sqref>
        </x14:dataValidation>
        <x14:dataValidation type="list" allowBlank="1" xr:uid="{0D061B27-2ED0-4A89-8EF3-BCF08CD5E27F}">
          <x14:formula1>
            <xm:f>'02_코드목록'!$B$2:$B$15</xm:f>
          </x14:formula1>
          <xm:sqref>G6</xm:sqref>
        </x14:dataValidation>
        <x14:dataValidation type="list" allowBlank="1" xr:uid="{06472377-7060-4FB5-A3C2-0B85F9411171}">
          <x14:formula1>
            <xm:f>'02_코드목록'!$D$2</xm:f>
          </x14:formula1>
          <xm:sqref>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15"/>
  <sheetViews>
    <sheetView showGridLines="0" workbookViewId="0">
      <selection activeCell="D18" sqref="D18"/>
    </sheetView>
  </sheetViews>
  <sheetFormatPr defaultRowHeight="16.5" x14ac:dyDescent="0.3"/>
  <cols>
    <col min="1" max="1" width="12" style="3" customWidth="1"/>
    <col min="2" max="2" width="18" style="3" customWidth="1"/>
    <col min="3" max="3" width="2" style="3" customWidth="1"/>
    <col min="4" max="4" width="19" style="3" customWidth="1"/>
    <col min="5" max="5" width="2" style="3" customWidth="1"/>
    <col min="6" max="9" width="9" style="3"/>
    <col min="10" max="10" width="17.25" style="3" bestFit="1" customWidth="1"/>
    <col min="11" max="11" width="17.25" style="3" customWidth="1"/>
    <col min="12" max="12" width="11.375" style="3" bestFit="1" customWidth="1"/>
    <col min="13" max="13" width="38" style="3" bestFit="1" customWidth="1"/>
    <col min="14" max="16384" width="9" style="3"/>
  </cols>
  <sheetData>
    <row r="1" spans="1:13" x14ac:dyDescent="0.3">
      <c r="A1" s="2" t="s">
        <v>6</v>
      </c>
      <c r="B1" s="2" t="s">
        <v>68</v>
      </c>
      <c r="D1" s="2" t="s">
        <v>69</v>
      </c>
      <c r="F1" s="2" t="s">
        <v>7</v>
      </c>
      <c r="G1" s="4"/>
      <c r="H1" s="4"/>
      <c r="J1" s="4" t="s">
        <v>38</v>
      </c>
      <c r="L1" s="4" t="s">
        <v>42</v>
      </c>
      <c r="M1" s="4"/>
    </row>
    <row r="2" spans="1:13" x14ac:dyDescent="0.3">
      <c r="A2" s="4">
        <v>10</v>
      </c>
      <c r="B2" s="4" t="s">
        <v>8</v>
      </c>
      <c r="D2" s="4" t="s">
        <v>65</v>
      </c>
      <c r="F2" s="33" t="s">
        <v>56</v>
      </c>
      <c r="G2" s="34"/>
      <c r="H2" s="34"/>
      <c r="J2" s="5" t="s">
        <v>35</v>
      </c>
      <c r="K2" s="6"/>
      <c r="L2" s="4" t="s">
        <v>43</v>
      </c>
      <c r="M2" s="4" t="s">
        <v>44</v>
      </c>
    </row>
    <row r="3" spans="1:13" x14ac:dyDescent="0.3">
      <c r="A3" s="4">
        <v>4</v>
      </c>
      <c r="B3" s="4" t="s">
        <v>9</v>
      </c>
      <c r="F3" s="34"/>
      <c r="G3" s="34"/>
      <c r="H3" s="34"/>
      <c r="J3" s="5" t="s">
        <v>36</v>
      </c>
      <c r="K3" s="6"/>
      <c r="L3" s="4" t="s">
        <v>45</v>
      </c>
      <c r="M3" s="4" t="s">
        <v>46</v>
      </c>
    </row>
    <row r="4" spans="1:13" x14ac:dyDescent="0.3">
      <c r="A4" s="4">
        <v>12</v>
      </c>
      <c r="B4" s="4" t="s">
        <v>10</v>
      </c>
      <c r="F4" s="34"/>
      <c r="G4" s="34"/>
      <c r="H4" s="34"/>
      <c r="J4" s="5" t="s">
        <v>37</v>
      </c>
      <c r="K4" s="6"/>
      <c r="L4" s="4" t="s">
        <v>47</v>
      </c>
      <c r="M4" s="4" t="s">
        <v>57</v>
      </c>
    </row>
    <row r="5" spans="1:13" x14ac:dyDescent="0.3">
      <c r="B5" s="4" t="s">
        <v>11</v>
      </c>
      <c r="L5" s="4" t="s">
        <v>48</v>
      </c>
      <c r="M5" s="4" t="s">
        <v>49</v>
      </c>
    </row>
    <row r="6" spans="1:13" x14ac:dyDescent="0.3">
      <c r="B6" s="4" t="s">
        <v>12</v>
      </c>
      <c r="L6" s="4" t="s">
        <v>50</v>
      </c>
      <c r="M6" s="4" t="s">
        <v>51</v>
      </c>
    </row>
    <row r="7" spans="1:13" x14ac:dyDescent="0.3">
      <c r="B7" s="4" t="s">
        <v>13</v>
      </c>
      <c r="L7" s="4" t="s">
        <v>52</v>
      </c>
      <c r="M7" s="4" t="s">
        <v>53</v>
      </c>
    </row>
    <row r="8" spans="1:13" x14ac:dyDescent="0.3">
      <c r="B8" s="4" t="s">
        <v>14</v>
      </c>
      <c r="L8" s="4" t="s">
        <v>54</v>
      </c>
      <c r="M8" s="4" t="s">
        <v>55</v>
      </c>
    </row>
    <row r="9" spans="1:13" x14ac:dyDescent="0.3">
      <c r="B9" s="4" t="s">
        <v>15</v>
      </c>
      <c r="L9" s="4" t="s">
        <v>58</v>
      </c>
      <c r="M9" s="4" t="s">
        <v>59</v>
      </c>
    </row>
    <row r="10" spans="1:13" x14ac:dyDescent="0.3">
      <c r="B10" s="4" t="s">
        <v>16</v>
      </c>
      <c r="L10" s="4" t="s">
        <v>60</v>
      </c>
      <c r="M10" s="4" t="s">
        <v>61</v>
      </c>
    </row>
    <row r="11" spans="1:13" x14ac:dyDescent="0.3">
      <c r="B11" s="4" t="s">
        <v>17</v>
      </c>
      <c r="L11" s="4" t="s">
        <v>62</v>
      </c>
      <c r="M11" s="4" t="s">
        <v>63</v>
      </c>
    </row>
    <row r="12" spans="1:13" x14ac:dyDescent="0.3">
      <c r="B12" s="4" t="s">
        <v>18</v>
      </c>
    </row>
    <row r="13" spans="1:13" x14ac:dyDescent="0.3">
      <c r="B13" s="4" t="s">
        <v>19</v>
      </c>
    </row>
    <row r="14" spans="1:13" x14ac:dyDescent="0.3">
      <c r="B14" s="4" t="s">
        <v>20</v>
      </c>
    </row>
    <row r="15" spans="1:13" x14ac:dyDescent="0.3">
      <c r="B15" s="4" t="s">
        <v>65</v>
      </c>
    </row>
  </sheetData>
  <mergeCells count="1">
    <mergeCell ref="F2:H4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소통메신저 양식 자동완성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rahee</cp:lastModifiedBy>
  <dcterms:created xsi:type="dcterms:W3CDTF">2026-02-27T14:01:13Z</dcterms:created>
  <dcterms:modified xsi:type="dcterms:W3CDTF">2026-03-14T15:03:44Z</dcterms:modified>
</cp:coreProperties>
</file>