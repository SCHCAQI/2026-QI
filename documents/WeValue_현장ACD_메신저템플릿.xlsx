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rahee\Desktop\GitHub동기화폴더\2026-QI\documents\"/>
    </mc:Choice>
  </mc:AlternateContent>
  <xr:revisionPtr revIDLastSave="0" documentId="13_ncr:1_{CF65B98D-1107-4F62-8BFD-FA91B1AFCA67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소통메신저 양식 자동완성" sheetId="2" r:id="rId1"/>
    <sheet name="02_코드목록" sheetId="3" r:id="rId2"/>
  </sheets>
  <calcPr calcId="191029"/>
</workbook>
</file>

<file path=xl/calcChain.xml><?xml version="1.0" encoding="utf-8"?>
<calcChain xmlns="http://schemas.openxmlformats.org/spreadsheetml/2006/main">
  <c r="L4" i="2" l="1"/>
  <c r="L3" i="2"/>
  <c r="I8" i="2" l="1"/>
  <c r="H8" i="2"/>
  <c r="J8" i="2" l="1"/>
  <c r="L17" i="2" s="1"/>
  <c r="L13" i="2" l="1"/>
  <c r="L14" i="2"/>
  <c r="L11" i="2"/>
  <c r="L15" i="2"/>
  <c r="L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rahee</author>
  </authors>
  <commentList>
    <comment ref="L3" authorId="0" shapeId="0" xr:uid="{90FACE3A-7ACC-4375-84D2-A8192ABCBC10}">
      <text>
        <r>
          <rPr>
            <b/>
            <sz val="9"/>
            <color indexed="81"/>
            <rFont val="돋움"/>
            <family val="3"/>
            <charset val="129"/>
          </rPr>
          <t>노란색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대화방에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붙여넣기에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용도입니다</t>
        </r>
        <r>
          <rPr>
            <b/>
            <sz val="9"/>
            <color indexed="81"/>
            <rFont val="Tahoma"/>
            <family val="2"/>
          </rPr>
          <t xml:space="preserve">. </t>
        </r>
      </text>
    </comment>
  </commentList>
</comments>
</file>

<file path=xl/sharedStrings.xml><?xml version="1.0" encoding="utf-8"?>
<sst xmlns="http://schemas.openxmlformats.org/spreadsheetml/2006/main" count="113" uniqueCount="108">
  <si>
    <t>A(보고)</t>
  </si>
  <si>
    <t>D(완료)</t>
  </si>
  <si>
    <t>구분</t>
  </si>
  <si>
    <t>긴급도(10/4/12)</t>
  </si>
  <si>
    <t>사유코드</t>
  </si>
  <si>
    <t>현재(상태)</t>
  </si>
  <si>
    <t>긴급도</t>
  </si>
  <si>
    <t>주의</t>
  </si>
  <si>
    <t>수술중</t>
  </si>
  <si>
    <t>시술중</t>
  </si>
  <si>
    <t>회진</t>
  </si>
  <si>
    <t>인계</t>
  </si>
  <si>
    <t>응급상황</t>
  </si>
  <si>
    <t>담당부재</t>
  </si>
  <si>
    <t>정보부족</t>
  </si>
  <si>
    <t>인력부족</t>
  </si>
  <si>
    <t>기타</t>
  </si>
  <si>
    <t>근무종료</t>
  </si>
  <si>
    <t>업무종료</t>
  </si>
  <si>
    <t>익일인계</t>
  </si>
  <si>
    <t>야간전환</t>
  </si>
  <si>
    <t>병실</t>
    <phoneticPr fontId="5" type="noConversion"/>
  </si>
  <si>
    <t>등록번호</t>
    <phoneticPr fontId="5" type="noConversion"/>
  </si>
  <si>
    <t>환자이름</t>
    <phoneticPr fontId="5" type="noConversion"/>
  </si>
  <si>
    <t>교수이름</t>
    <phoneticPr fontId="5" type="noConversion"/>
  </si>
  <si>
    <t>월일(MMDD)</t>
    <phoneticPr fontId="5" type="noConversion"/>
  </si>
  <si>
    <t>메신저 입력 양식
(복사하여 붙여넣기)</t>
    <phoneticPr fontId="5" type="noConversion"/>
  </si>
  <si>
    <t>CaseID</t>
    <phoneticPr fontId="5" type="noConversion"/>
  </si>
  <si>
    <t>시간(HHMM)</t>
    <phoneticPr fontId="5" type="noConversion"/>
  </si>
  <si>
    <t>시간
(HHMM)</t>
    <phoneticPr fontId="5" type="noConversion"/>
  </si>
  <si>
    <t>지금
(핵심)</t>
    <phoneticPr fontId="5" type="noConversion"/>
  </si>
  <si>
    <t>근거
(데이터)</t>
    <phoneticPr fontId="5" type="noConversion"/>
  </si>
  <si>
    <t>요청
(평가/조치)</t>
    <phoneticPr fontId="5" type="noConversion"/>
  </si>
  <si>
    <t>F/U
(재보고 기준)</t>
    <phoneticPr fontId="5" type="noConversion"/>
  </si>
  <si>
    <t>정보성</t>
    <phoneticPr fontId="5" type="noConversion"/>
  </si>
  <si>
    <t>입원</t>
    <phoneticPr fontId="5" type="noConversion"/>
  </si>
  <si>
    <t>검사</t>
    <phoneticPr fontId="5" type="noConversion"/>
  </si>
  <si>
    <t>자가약</t>
  </si>
  <si>
    <t>정보성:"지금"목록</t>
    <phoneticPr fontId="5" type="noConversion"/>
  </si>
  <si>
    <t>사용 팁 : 양식의 흰색 입력셀에 정보를 입력하면 메신저 입력 양식이 노란 배경색의 셀에 자동으로 생성됩니다. ( "메신저 입력 양식" 셀 )</t>
    <phoneticPr fontId="5" type="noConversion"/>
  </si>
  <si>
    <t>가나다</t>
    <phoneticPr fontId="5" type="noConversion"/>
  </si>
  <si>
    <t>WeValue 현장ACD 메신저 템플릿</t>
    <phoneticPr fontId="5" type="noConversion"/>
  </si>
  <si>
    <t>14층 코드</t>
    <phoneticPr fontId="5" type="noConversion"/>
  </si>
  <si>
    <t>[CHEMO]</t>
  </si>
  <si>
    <t>항암 특화</t>
  </si>
  <si>
    <t>[BLOOD]</t>
  </si>
  <si>
    <t>수혈 및 혈액</t>
  </si>
  <si>
    <t>[CVR]</t>
  </si>
  <si>
    <t>[LIFE]</t>
  </si>
  <si>
    <t>존엄 및 임종 (LST/DNR)</t>
  </si>
  <si>
    <t>[MEET]</t>
  </si>
  <si>
    <t>보호자 면담</t>
  </si>
  <si>
    <t>[MARROW]</t>
  </si>
  <si>
    <t>골수 검사</t>
  </si>
  <si>
    <t>[ISO]</t>
  </si>
  <si>
    <t>격리 및 역격리</t>
  </si>
  <si>
    <t>엑셀/웹 문서에는 실제 환자정보 입력 금지. (예시/자리표시자만)</t>
    <phoneticPr fontId="5" type="noConversion"/>
  </si>
  <si>
    <t>위험 수치 및 Lab (Critical Value Report)</t>
  </si>
  <si>
    <t>[C-Status]</t>
  </si>
  <si>
    <t>상태 변화 (Condition Status)</t>
  </si>
  <si>
    <t>[PAIN]</t>
  </si>
  <si>
    <t>통증 조절 (Pain Management)</t>
  </si>
  <si>
    <t>[OUT]</t>
  </si>
  <si>
    <t>퇴원·전과·사망 관리 (Discharge/Death)</t>
  </si>
  <si>
    <t>141W,142W 전용
"하이패스" 태그</t>
    <phoneticPr fontId="5" type="noConversion"/>
  </si>
  <si>
    <t>IN-OUT(인계)</t>
    <phoneticPr fontId="5" type="noConversion"/>
  </si>
  <si>
    <t>C(보호기록)-PA</t>
    <phoneticPr fontId="5" type="noConversion"/>
  </si>
  <si>
    <t>C(보호기록)-병동</t>
    <phoneticPr fontId="5" type="noConversion"/>
  </si>
  <si>
    <t>사유코드(권장)-PA</t>
    <phoneticPr fontId="5" type="noConversion"/>
  </si>
  <si>
    <t>사유코드(권장)-병동</t>
    <phoneticPr fontId="5" type="noConversion"/>
  </si>
  <si>
    <t>처방확인</t>
    <phoneticPr fontId="5" type="noConversion"/>
  </si>
  <si>
    <t>박OO</t>
    <phoneticPr fontId="5" type="noConversion"/>
  </si>
  <si>
    <t>야간이음기록</t>
    <phoneticPr fontId="5" type="noConversion"/>
  </si>
  <si>
    <t>지금</t>
    <phoneticPr fontId="5" type="noConversion"/>
  </si>
  <si>
    <t>조치</t>
    <phoneticPr fontId="5" type="noConversion"/>
  </si>
  <si>
    <t>[D]현재상태</t>
    <phoneticPr fontId="5" type="noConversion"/>
  </si>
  <si>
    <t>소속병동</t>
    <phoneticPr fontId="5" type="noConversion"/>
  </si>
  <si>
    <t>근무</t>
    <phoneticPr fontId="5" type="noConversion"/>
  </si>
  <si>
    <t>팀</t>
    <phoneticPr fontId="5" type="noConversion"/>
  </si>
  <si>
    <t>병동간호사</t>
    <phoneticPr fontId="5" type="noConversion"/>
  </si>
  <si>
    <t>PA</t>
    <phoneticPr fontId="5" type="noConversion"/>
  </si>
  <si>
    <t>소속과</t>
    <phoneticPr fontId="5" type="noConversion"/>
  </si>
  <si>
    <t>담당교수님</t>
    <phoneticPr fontId="5" type="noConversion"/>
  </si>
  <si>
    <t>대화방 프로필 설정</t>
    <phoneticPr fontId="5" type="noConversion"/>
  </si>
  <si>
    <t>CaseId</t>
    <phoneticPr fontId="5" type="noConversion"/>
  </si>
  <si>
    <t>데이</t>
    <phoneticPr fontId="5" type="noConversion"/>
  </si>
  <si>
    <t>이브닝</t>
    <phoneticPr fontId="5" type="noConversion"/>
  </si>
  <si>
    <t>나이트</t>
    <phoneticPr fontId="5" type="noConversion"/>
  </si>
  <si>
    <t>KJS</t>
    <phoneticPr fontId="5" type="noConversion"/>
  </si>
  <si>
    <t>이름</t>
    <phoneticPr fontId="5" type="noConversion"/>
  </si>
  <si>
    <t>이OO</t>
    <phoneticPr fontId="5" type="noConversion"/>
  </si>
  <si>
    <t>팀</t>
    <phoneticPr fontId="5" type="noConversion"/>
  </si>
  <si>
    <t>A</t>
    <phoneticPr fontId="5" type="noConversion"/>
  </si>
  <si>
    <t>B</t>
    <phoneticPr fontId="5" type="noConversion"/>
  </si>
  <si>
    <t>C</t>
    <phoneticPr fontId="5" type="noConversion"/>
  </si>
  <si>
    <t>D</t>
    <phoneticPr fontId="5" type="noConversion"/>
  </si>
  <si>
    <t>E</t>
    <phoneticPr fontId="5" type="noConversion"/>
  </si>
  <si>
    <t>141-MH</t>
  </si>
  <si>
    <t>141-MH</t>
    <phoneticPr fontId="5" type="noConversion"/>
  </si>
  <si>
    <t>142-MH</t>
    <phoneticPr fontId="5" type="noConversion"/>
  </si>
  <si>
    <t>131-ENT</t>
    <phoneticPr fontId="5" type="noConversion"/>
  </si>
  <si>
    <t>131-URO</t>
    <phoneticPr fontId="5" type="noConversion"/>
  </si>
  <si>
    <t>92-MC</t>
    <phoneticPr fontId="5" type="noConversion"/>
  </si>
  <si>
    <t>92-CS</t>
    <phoneticPr fontId="5" type="noConversion"/>
  </si>
  <si>
    <t>PA 소속과</t>
    <phoneticPr fontId="5" type="noConversion"/>
  </si>
  <si>
    <t>병동소속</t>
    <phoneticPr fontId="5" type="noConversion"/>
  </si>
  <si>
    <t>나이트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</si>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</sst>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dd\ hh:mm:ss"/>
    <numFmt numFmtId="177" formatCode="hhmm"/>
    <numFmt numFmtId="178" formatCode="yyyy\-mm\ hh:mm:ss"/>
  </numFmts>
  <fonts count="1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Consolas"/>
    </font>
    <font>
      <sz val="8"/>
      <name val="맑은 고딕"/>
      <family val="3"/>
      <charset val="129"/>
      <scheme val="minor"/>
    </font>
    <font>
      <b/>
      <sz val="20"/>
      <color rgb="FFFFFFFF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4"/>
      <name val="맑은 고딕"/>
      <family val="3"/>
      <charset val="129"/>
    </font>
    <font>
      <b/>
      <sz val="24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76" fontId="6" fillId="7" borderId="8" xfId="0" applyNumberFormat="1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76" fontId="3" fillId="2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7" borderId="0" xfId="0" applyFill="1" applyAlignment="1">
      <alignment vertical="center"/>
    </xf>
    <xf numFmtId="176" fontId="10" fillId="7" borderId="2" xfId="0" applyNumberFormat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176" fontId="6" fillId="2" borderId="7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7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76" fontId="3" fillId="2" borderId="6" xfId="0" applyNumberFormat="1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78" fontId="0" fillId="5" borderId="6" xfId="0" applyNumberFormat="1" applyFill="1" applyBorder="1" applyAlignment="1">
      <alignment horizontal="center" vertical="center"/>
    </xf>
    <xf numFmtId="177" fontId="0" fillId="5" borderId="6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76" fontId="3" fillId="7" borderId="12" xfId="0" applyNumberFormat="1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77" fontId="0" fillId="7" borderId="1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1" fillId="8" borderId="6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</cellXfs>
  <cellStyles count="1">
    <cellStyle name="표준" xfId="0" builtinId="0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L19"/>
  <sheetViews>
    <sheetView showGridLines="0" tabSelected="1" workbookViewId="0">
      <selection activeCell="C11" sqref="C11"/>
    </sheetView>
  </sheetViews>
  <sheetFormatPr defaultRowHeight="26.25" customHeight="1" x14ac:dyDescent="0.3"/>
  <cols>
    <col min="1" max="1" width="4.75" style="1" customWidth="1"/>
    <col min="2" max="2" width="19.375" style="1" customWidth="1"/>
    <col min="3" max="3" width="21.875" style="1" customWidth="1"/>
    <col min="4" max="4" width="16.625" style="1" bestFit="1" customWidth="1"/>
    <col min="5" max="5" width="9.5" style="1" bestFit="1" customWidth="1"/>
    <col min="6" max="6" width="9.25" style="1" bestFit="1" customWidth="1"/>
    <col min="7" max="7" width="11.5" style="1" bestFit="1" customWidth="1"/>
    <col min="8" max="8" width="13.25" style="1" bestFit="1" customWidth="1"/>
    <col min="9" max="9" width="13.625" style="1" bestFit="1" customWidth="1"/>
    <col min="10" max="10" width="10.5" style="1" bestFit="1" customWidth="1"/>
    <col min="11" max="11" width="22.125" style="1" customWidth="1"/>
    <col min="12" max="12" width="96.125" style="1" bestFit="1" customWidth="1"/>
    <col min="13" max="13" width="100.25" style="1" customWidth="1"/>
    <col min="14" max="16384" width="9" style="1"/>
  </cols>
  <sheetData>
    <row r="1" spans="2:12" ht="66.75" customHeight="1" x14ac:dyDescent="0.3">
      <c r="B1" s="23" t="s">
        <v>41</v>
      </c>
      <c r="C1" s="23"/>
      <c r="D1" s="24"/>
      <c r="E1" s="24"/>
      <c r="F1" s="24"/>
      <c r="G1" s="24"/>
      <c r="H1" s="24"/>
      <c r="I1" s="24"/>
      <c r="J1" s="24"/>
      <c r="K1" s="24"/>
      <c r="L1" s="24"/>
    </row>
    <row r="2" spans="2:12" ht="45.75" customHeight="1" x14ac:dyDescent="0.3">
      <c r="B2" s="29" t="s">
        <v>83</v>
      </c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2:12" s="37" customFormat="1" ht="34.5" customHeight="1" x14ac:dyDescent="0.3">
      <c r="B3" s="20" t="s">
        <v>79</v>
      </c>
      <c r="C3" s="20" t="s">
        <v>76</v>
      </c>
      <c r="D3" s="59">
        <v>92</v>
      </c>
      <c r="E3" s="20" t="s">
        <v>77</v>
      </c>
      <c r="F3" s="59" t="s">
        <v>106</v>
      </c>
      <c r="G3" s="20" t="s">
        <v>78</v>
      </c>
      <c r="H3" s="59" t="s">
        <v>107</v>
      </c>
      <c r="I3" s="35" t="s">
        <v>89</v>
      </c>
      <c r="J3" s="34" t="s">
        <v>90</v>
      </c>
      <c r="K3" s="35"/>
      <c r="L3" s="36" t="str">
        <f>"["&amp;D3&amp;"/"&amp;F3&amp;"/"&amp;H3&amp;"] "&amp;J3</f>
        <v>[92/나이트/B] 이OO</v>
      </c>
    </row>
    <row r="4" spans="2:12" s="37" customFormat="1" ht="34.5" customHeight="1" x14ac:dyDescent="0.3">
      <c r="B4" s="38" t="s">
        <v>80</v>
      </c>
      <c r="C4" s="38" t="s">
        <v>81</v>
      </c>
      <c r="D4" s="58" t="s">
        <v>97</v>
      </c>
      <c r="E4" s="40" t="s">
        <v>82</v>
      </c>
      <c r="F4" s="40"/>
      <c r="G4" s="41" t="s">
        <v>88</v>
      </c>
      <c r="H4" s="41"/>
      <c r="I4" s="42" t="s">
        <v>89</v>
      </c>
      <c r="J4" s="39" t="s">
        <v>90</v>
      </c>
      <c r="K4" s="42"/>
      <c r="L4" s="43" t="str">
        <f>"["&amp;D4&amp;"/"&amp;G4&amp;"] "&amp;J4</f>
        <v>[141-MH/KJS] 이OO</v>
      </c>
    </row>
    <row r="5" spans="2:12" ht="21.75" customHeight="1" x14ac:dyDescent="0.3">
      <c r="B5" s="15"/>
      <c r="C5" s="15"/>
      <c r="D5" s="16"/>
      <c r="E5" s="16"/>
      <c r="F5" s="16"/>
      <c r="G5" s="16"/>
      <c r="H5" s="16"/>
      <c r="I5" s="16"/>
      <c r="J5" s="16"/>
      <c r="K5" s="16"/>
      <c r="L5" s="17"/>
    </row>
    <row r="6" spans="2:12" ht="45.75" customHeight="1" x14ac:dyDescent="0.3">
      <c r="B6" s="31" t="s">
        <v>84</v>
      </c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2:12" ht="26.25" customHeight="1" x14ac:dyDescent="0.3">
      <c r="B7" s="30"/>
      <c r="C7" s="30"/>
      <c r="D7" s="8" t="s">
        <v>21</v>
      </c>
      <c r="E7" s="8" t="s">
        <v>22</v>
      </c>
      <c r="F7" s="8" t="s">
        <v>23</v>
      </c>
      <c r="G7" s="8" t="s">
        <v>24</v>
      </c>
      <c r="H7" s="8" t="s">
        <v>25</v>
      </c>
      <c r="I7" s="8" t="s">
        <v>28</v>
      </c>
      <c r="J7" s="27" t="s">
        <v>27</v>
      </c>
      <c r="K7" s="27"/>
      <c r="L7" s="27"/>
    </row>
    <row r="8" spans="2:12" ht="26.25" customHeight="1" x14ac:dyDescent="0.3">
      <c r="B8" s="46"/>
      <c r="C8" s="46"/>
      <c r="D8" s="47">
        <v>1311</v>
      </c>
      <c r="E8" s="47">
        <v>12345678</v>
      </c>
      <c r="F8" s="47" t="s">
        <v>40</v>
      </c>
      <c r="G8" s="47" t="s">
        <v>71</v>
      </c>
      <c r="H8" s="48" t="str">
        <f ca="1">TEXT(NOW(), "mmdd")</f>
        <v>0315</v>
      </c>
      <c r="I8" s="49" t="str">
        <f ca="1">TEXT(NOW(), "hhmm")</f>
        <v>1704</v>
      </c>
      <c r="J8" s="50" t="str">
        <f ca="1">"["&amp;D8&amp;"]-["&amp;E8&amp;"]-["&amp;F8&amp;"]-["&amp;G8&amp;"]-["&amp;TEXT(H8,"0000")&amp;"]-["&amp;TEXT(I8,"0000")&amp;"]"</f>
        <v>[1311]-[12345678]-[가나다]-[박OO]-[0315]-[1704]</v>
      </c>
      <c r="K8" s="51"/>
      <c r="L8" s="52"/>
    </row>
    <row r="9" spans="2:12" s="22" customFormat="1" ht="26.25" customHeight="1" x14ac:dyDescent="0.3">
      <c r="B9" s="53"/>
      <c r="C9" s="53"/>
      <c r="D9" s="54"/>
      <c r="E9" s="54"/>
      <c r="F9" s="54"/>
      <c r="G9" s="54"/>
      <c r="H9" s="55"/>
      <c r="I9" s="56"/>
      <c r="J9" s="54"/>
      <c r="K9" s="54"/>
      <c r="L9" s="54"/>
    </row>
    <row r="10" spans="2:12" ht="33" x14ac:dyDescent="0.3">
      <c r="B10" s="44" t="s">
        <v>2</v>
      </c>
      <c r="C10" s="45" t="s">
        <v>64</v>
      </c>
      <c r="D10" s="44" t="s">
        <v>3</v>
      </c>
      <c r="E10" s="44" t="s">
        <v>30</v>
      </c>
      <c r="F10" s="44" t="s">
        <v>31</v>
      </c>
      <c r="G10" s="44" t="s">
        <v>32</v>
      </c>
      <c r="H10" s="44" t="s">
        <v>4</v>
      </c>
      <c r="I10" s="44" t="s">
        <v>29</v>
      </c>
      <c r="J10" s="44" t="s">
        <v>5</v>
      </c>
      <c r="K10" s="44" t="s">
        <v>33</v>
      </c>
      <c r="L10" s="44" t="s">
        <v>26</v>
      </c>
    </row>
    <row r="11" spans="2:12" ht="22.5" customHeight="1" x14ac:dyDescent="0.3">
      <c r="B11" s="9" t="s">
        <v>0</v>
      </c>
      <c r="C11" s="10"/>
      <c r="D11" s="10">
        <v>10</v>
      </c>
      <c r="E11" s="10"/>
      <c r="F11" s="10"/>
      <c r="G11" s="10"/>
      <c r="H11" s="8"/>
      <c r="I11" s="8"/>
      <c r="J11" s="8"/>
      <c r="K11" s="8"/>
      <c r="L11" s="11" t="str">
        <f ca="1">C11&amp;IF($J$8="","", "[A]"&amp;$J$8&amp;" / 지금:"&amp;E11&amp;" / 근거:"&amp;F11&amp;" / 요청:"&amp;G11&amp;" / "&amp;D11)</f>
        <v>[A][1311]-[12345678]-[가나다]-[박OO]-[0315]-[1704] / 지금: / 근거: / 요청: / 10</v>
      </c>
    </row>
    <row r="12" spans="2:12" ht="22.5" customHeight="1" x14ac:dyDescent="0.3">
      <c r="B12" s="9" t="s">
        <v>66</v>
      </c>
      <c r="C12" s="8"/>
      <c r="D12" s="8"/>
      <c r="E12" s="8"/>
      <c r="F12" s="8"/>
      <c r="G12" s="8"/>
      <c r="H12" s="60"/>
      <c r="I12" s="10"/>
      <c r="J12" s="8"/>
      <c r="K12" s="8"/>
      <c r="L12" s="11" t="str">
        <f ca="1">IF($J$8="","", "[C]"&amp;$J$8&amp;" / "&amp;IF(H12="","{사유코드}",H12)&amp;" / 다음확인 "&amp;I12&amp;" (전화 1회 후)")</f>
        <v>[C][1311]-[12345678]-[가나다]-[박OO]-[0315]-[1704] / {사유코드} / 다음확인  (전화 1회 후)</v>
      </c>
    </row>
    <row r="13" spans="2:12" ht="22.5" customHeight="1" x14ac:dyDescent="0.3">
      <c r="B13" s="9" t="s">
        <v>67</v>
      </c>
      <c r="C13" s="8"/>
      <c r="D13" s="8"/>
      <c r="E13" s="8"/>
      <c r="F13" s="8"/>
      <c r="G13" s="8"/>
      <c r="H13" s="60"/>
      <c r="I13" s="10"/>
      <c r="J13" s="8"/>
      <c r="K13" s="8"/>
      <c r="L13" s="11" t="str">
        <f ca="1">IF($J$8="","", "[C]"&amp;$J$8&amp;" / "&amp;IF(H13="","{사유코드}",H13)&amp;" / 다음확인 "&amp;I13&amp;" (전화 1회 후)")</f>
        <v>[C][1311]-[12345678]-[가나다]-[박OO]-[0315]-[1704] / {사유코드} / 다음확인  (전화 1회 후)</v>
      </c>
    </row>
    <row r="14" spans="2:12" ht="22.5" customHeight="1" x14ac:dyDescent="0.3">
      <c r="B14" s="9" t="s">
        <v>1</v>
      </c>
      <c r="C14" s="8"/>
      <c r="D14" s="8"/>
      <c r="E14" s="10"/>
      <c r="F14" s="8"/>
      <c r="G14" s="8"/>
      <c r="H14" s="8"/>
      <c r="I14" s="8"/>
      <c r="J14" s="10" t="s">
        <v>70</v>
      </c>
      <c r="K14" s="10"/>
      <c r="L14" s="11" t="str">
        <f ca="1">IF($J$8="","", "[D]"&amp;$J$8&amp;" / 결과:"&amp;E14&amp;" / 현재:"&amp;J14&amp;" / F/U:"&amp;K14)</f>
        <v>[D][1311]-[12345678]-[가나다]-[박OO]-[0315]-[1704] / 결과: / 현재:처방확인 / F/U:</v>
      </c>
    </row>
    <row r="15" spans="2:12" ht="22.5" customHeight="1" x14ac:dyDescent="0.3">
      <c r="B15" s="9" t="s">
        <v>34</v>
      </c>
      <c r="C15" s="8"/>
      <c r="D15" s="8"/>
      <c r="E15" s="60"/>
      <c r="F15" s="8"/>
      <c r="G15" s="8"/>
      <c r="H15" s="8"/>
      <c r="I15" s="8"/>
      <c r="J15" s="8"/>
      <c r="K15" s="8"/>
      <c r="L15" s="11" t="str">
        <f ca="1">IF($J$8="","", "(보고)"&amp;$J$8&amp;"/"&amp;E15&amp;IF(E15="","","/")&amp;"12")</f>
        <v>(보고)[1311]-[12345678]-[가나다]-[박OO]-[0315]-[1704]/12</v>
      </c>
    </row>
    <row r="16" spans="2:12" ht="22.5" customHeight="1" x14ac:dyDescent="0.3">
      <c r="B16" s="8" t="s">
        <v>2</v>
      </c>
      <c r="C16" s="26" t="s">
        <v>73</v>
      </c>
      <c r="D16" s="26"/>
      <c r="E16" s="27" t="s">
        <v>74</v>
      </c>
      <c r="F16" s="27"/>
      <c r="G16" s="27"/>
      <c r="H16" s="27"/>
      <c r="I16" s="27" t="s">
        <v>75</v>
      </c>
      <c r="J16" s="27"/>
      <c r="K16" s="27"/>
      <c r="L16" s="8"/>
    </row>
    <row r="17" spans="2:12" ht="22.5" customHeight="1" x14ac:dyDescent="0.3">
      <c r="B17" s="9" t="s">
        <v>72</v>
      </c>
      <c r="C17" s="28"/>
      <c r="D17" s="28"/>
      <c r="E17" s="28"/>
      <c r="F17" s="28"/>
      <c r="G17" s="28"/>
      <c r="H17" s="28"/>
      <c r="I17" s="28"/>
      <c r="J17" s="28"/>
      <c r="K17" s="28"/>
      <c r="L17" s="11" t="str">
        <f ca="1">IF($J$8="","", "[A][야간이음기록]"&amp;$J$8&amp;"/지금:"&amp;C17&amp;"/조치:"&amp;E17&amp;"/[D]"&amp;E17&amp;I17)</f>
        <v>[A][야간이음기록][1311]-[12345678]-[가나다]-[박OO]-[0315]-[1704]/지금:/조치:/[D]</v>
      </c>
    </row>
    <row r="18" spans="2:12" ht="26.25" customHeight="1" x14ac:dyDescent="0.3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2:12" ht="110.25" customHeight="1" x14ac:dyDescent="0.3">
      <c r="B19" s="25" t="s">
        <v>39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</row>
  </sheetData>
  <mergeCells count="15">
    <mergeCell ref="B1:L1"/>
    <mergeCell ref="B19:L19"/>
    <mergeCell ref="C16:D16"/>
    <mergeCell ref="E16:H16"/>
    <mergeCell ref="I16:K16"/>
    <mergeCell ref="E17:H17"/>
    <mergeCell ref="I17:K17"/>
    <mergeCell ref="C17:D17"/>
    <mergeCell ref="E4:F4"/>
    <mergeCell ref="G4:H4"/>
    <mergeCell ref="B2:L2"/>
    <mergeCell ref="B7:C8"/>
    <mergeCell ref="B6:L6"/>
    <mergeCell ref="J8:L8"/>
    <mergeCell ref="J7:L7"/>
  </mergeCells>
  <phoneticPr fontId="5" type="noConversion"/>
  <conditionalFormatting sqref="C11:D11">
    <cfRule type="expression" dxfId="2" priority="1">
      <formula>C11=12</formula>
    </cfRule>
    <cfRule type="expression" dxfId="1" priority="2">
      <formula>C11=4</formula>
    </cfRule>
    <cfRule type="expression" dxfId="0" priority="3">
      <formula>C11=10</formula>
    </cfRule>
  </conditionalFormatting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100-000000000000}">
          <x14:formula1>
            <xm:f>'02_코드목록'!$A$2:$A$4</xm:f>
          </x14:formula1>
          <xm:sqref>D11 D15</xm:sqref>
        </x14:dataValidation>
        <x14:dataValidation type="list" allowBlank="1" xr:uid="{00000000-0002-0000-0100-000001000000}">
          <x14:formula1>
            <xm:f>'02_코드목록'!$B$2:$B$14</xm:f>
          </x14:formula1>
          <xm:sqref>H14</xm:sqref>
        </x14:dataValidation>
        <x14:dataValidation type="list" allowBlank="1" showInputMessage="1" showErrorMessage="1" xr:uid="{72FFAC11-A338-427E-AF73-F7D83A85893C}">
          <x14:formula1>
            <xm:f>'02_코드목록'!$J$2:$J$4</xm:f>
          </x14:formula1>
          <xm:sqref>E15</xm:sqref>
        </x14:dataValidation>
        <x14:dataValidation type="list" allowBlank="1" showInputMessage="1" showErrorMessage="1" xr:uid="{54F24218-F1A5-4C39-A88F-EBBD79DE5CE8}">
          <x14:formula1>
            <xm:f>'02_코드목록'!$L$2:$L$11</xm:f>
          </x14:formula1>
          <xm:sqref>C11</xm:sqref>
        </x14:dataValidation>
        <x14:dataValidation type="list" allowBlank="1" xr:uid="{0D061B27-2ED0-4A89-8EF3-BCF08CD5E27F}">
          <x14:formula1>
            <xm:f>'02_코드목록'!$B$2:$B$15</xm:f>
          </x14:formula1>
          <xm:sqref>H12</xm:sqref>
        </x14:dataValidation>
        <x14:dataValidation type="list" allowBlank="1" xr:uid="{06472377-7060-4FB5-A3C2-0B85F9411171}">
          <x14:formula1>
            <xm:f>'02_코드목록'!$D$2</xm:f>
          </x14:formula1>
          <xm:sqref>H13</xm:sqref>
        </x14:dataValidation>
        <x14:dataValidation type="list" allowBlank="1" showInputMessage="1" showErrorMessage="1" xr:uid="{0BB3FC94-3ED2-4C84-A3ED-2F30071EDD5F}">
          <x14:formula1>
            <xm:f>'02_코드목록'!$B$23:$B$25</xm:f>
          </x14:formula1>
          <xm:sqref>F3</xm:sqref>
        </x14:dataValidation>
        <x14:dataValidation type="list" allowBlank="1" showInputMessage="1" showErrorMessage="1" xr:uid="{520AB831-8948-4772-A944-BFC6D5A572B3}">
          <x14:formula1>
            <xm:f>'02_코드목록'!$E$23:$E$27</xm:f>
          </x14:formula1>
          <xm:sqref>H3</xm:sqref>
        </x14:dataValidation>
        <x14:dataValidation type="list" allowBlank="1" showInputMessage="1" showErrorMessage="1" xr:uid="{F832BF57-460C-4480-8BA8-EBC99E7230DB}">
          <x14:formula1>
            <xm:f>'02_코드목록'!$K$23:$K$26</xm:f>
          </x14:formula1>
          <xm:sqref>D3</xm:sqref>
        </x14:dataValidation>
        <x14:dataValidation type="list" allowBlank="1" showInputMessage="1" showErrorMessage="1" xr:uid="{33E7ADC8-529F-4927-AAE9-C790AFD91F36}">
          <x14:formula1>
            <xm:f>'02_코드목록'!$H$23:$H$28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28"/>
  <sheetViews>
    <sheetView showGridLines="0" workbookViewId="0">
      <selection activeCell="I24" sqref="I24"/>
    </sheetView>
  </sheetViews>
  <sheetFormatPr defaultRowHeight="16.5" x14ac:dyDescent="0.3"/>
  <cols>
    <col min="1" max="1" width="12" style="3" customWidth="1"/>
    <col min="2" max="2" width="18" style="3" customWidth="1"/>
    <col min="3" max="3" width="2" style="3" customWidth="1"/>
    <col min="4" max="4" width="19" style="3" customWidth="1"/>
    <col min="5" max="5" width="2" style="3" customWidth="1"/>
    <col min="6" max="9" width="9" style="3"/>
    <col min="10" max="10" width="17.25" style="3" bestFit="1" customWidth="1"/>
    <col min="11" max="11" width="17.25" style="3" customWidth="1"/>
    <col min="12" max="12" width="11.375" style="3" bestFit="1" customWidth="1"/>
    <col min="13" max="13" width="38" style="3" bestFit="1" customWidth="1"/>
    <col min="14" max="16384" width="9" style="3"/>
  </cols>
  <sheetData>
    <row r="1" spans="1:13" x14ac:dyDescent="0.3">
      <c r="A1" s="2" t="s">
        <v>6</v>
      </c>
      <c r="B1" s="2" t="s">
        <v>68</v>
      </c>
      <c r="D1" s="2" t="s">
        <v>69</v>
      </c>
      <c r="F1" s="2" t="s">
        <v>7</v>
      </c>
      <c r="G1" s="4"/>
      <c r="H1" s="4"/>
      <c r="J1" s="4" t="s">
        <v>38</v>
      </c>
      <c r="L1" s="4" t="s">
        <v>42</v>
      </c>
      <c r="M1" s="4"/>
    </row>
    <row r="2" spans="1:13" x14ac:dyDescent="0.3">
      <c r="A2" s="4">
        <v>10</v>
      </c>
      <c r="B2" s="4" t="s">
        <v>8</v>
      </c>
      <c r="D2" s="4" t="s">
        <v>65</v>
      </c>
      <c r="F2" s="32" t="s">
        <v>56</v>
      </c>
      <c r="G2" s="33"/>
      <c r="H2" s="33"/>
      <c r="J2" s="5" t="s">
        <v>35</v>
      </c>
      <c r="K2" s="6"/>
      <c r="L2" s="4" t="s">
        <v>43</v>
      </c>
      <c r="M2" s="4" t="s">
        <v>44</v>
      </c>
    </row>
    <row r="3" spans="1:13" x14ac:dyDescent="0.3">
      <c r="A3" s="4">
        <v>4</v>
      </c>
      <c r="B3" s="4" t="s">
        <v>9</v>
      </c>
      <c r="F3" s="33"/>
      <c r="G3" s="33"/>
      <c r="H3" s="33"/>
      <c r="J3" s="5" t="s">
        <v>36</v>
      </c>
      <c r="K3" s="6"/>
      <c r="L3" s="4" t="s">
        <v>45</v>
      </c>
      <c r="M3" s="4" t="s">
        <v>46</v>
      </c>
    </row>
    <row r="4" spans="1:13" x14ac:dyDescent="0.3">
      <c r="A4" s="4">
        <v>12</v>
      </c>
      <c r="B4" s="4" t="s">
        <v>10</v>
      </c>
      <c r="F4" s="33"/>
      <c r="G4" s="33"/>
      <c r="H4" s="33"/>
      <c r="J4" s="5" t="s">
        <v>37</v>
      </c>
      <c r="K4" s="6"/>
      <c r="L4" s="4" t="s">
        <v>47</v>
      </c>
      <c r="M4" s="4" t="s">
        <v>57</v>
      </c>
    </row>
    <row r="5" spans="1:13" x14ac:dyDescent="0.3">
      <c r="B5" s="4" t="s">
        <v>11</v>
      </c>
      <c r="L5" s="4" t="s">
        <v>48</v>
      </c>
      <c r="M5" s="4" t="s">
        <v>49</v>
      </c>
    </row>
    <row r="6" spans="1:13" x14ac:dyDescent="0.3">
      <c r="B6" s="4" t="s">
        <v>12</v>
      </c>
      <c r="L6" s="4" t="s">
        <v>50</v>
      </c>
      <c r="M6" s="4" t="s">
        <v>51</v>
      </c>
    </row>
    <row r="7" spans="1:13" x14ac:dyDescent="0.3">
      <c r="B7" s="4" t="s">
        <v>13</v>
      </c>
      <c r="L7" s="4" t="s">
        <v>52</v>
      </c>
      <c r="M7" s="4" t="s">
        <v>53</v>
      </c>
    </row>
    <row r="8" spans="1:13" x14ac:dyDescent="0.3">
      <c r="B8" s="4" t="s">
        <v>14</v>
      </c>
      <c r="L8" s="4" t="s">
        <v>54</v>
      </c>
      <c r="M8" s="4" t="s">
        <v>55</v>
      </c>
    </row>
    <row r="9" spans="1:13" x14ac:dyDescent="0.3">
      <c r="B9" s="4" t="s">
        <v>15</v>
      </c>
      <c r="L9" s="4" t="s">
        <v>58</v>
      </c>
      <c r="M9" s="4" t="s">
        <v>59</v>
      </c>
    </row>
    <row r="10" spans="1:13" x14ac:dyDescent="0.3">
      <c r="B10" s="4" t="s">
        <v>16</v>
      </c>
      <c r="L10" s="4" t="s">
        <v>60</v>
      </c>
      <c r="M10" s="4" t="s">
        <v>61</v>
      </c>
    </row>
    <row r="11" spans="1:13" x14ac:dyDescent="0.3">
      <c r="B11" s="4" t="s">
        <v>17</v>
      </c>
      <c r="L11" s="4" t="s">
        <v>62</v>
      </c>
      <c r="M11" s="4" t="s">
        <v>63</v>
      </c>
    </row>
    <row r="12" spans="1:13" x14ac:dyDescent="0.3">
      <c r="B12" s="4" t="s">
        <v>18</v>
      </c>
    </row>
    <row r="13" spans="1:13" x14ac:dyDescent="0.3">
      <c r="B13" s="4" t="s">
        <v>19</v>
      </c>
    </row>
    <row r="14" spans="1:13" x14ac:dyDescent="0.3">
      <c r="B14" s="4" t="s">
        <v>20</v>
      </c>
    </row>
    <row r="15" spans="1:13" x14ac:dyDescent="0.3">
      <c r="B15" s="4" t="s">
        <v>65</v>
      </c>
    </row>
    <row r="23" spans="1:11" x14ac:dyDescent="0.3">
      <c r="A23" s="19" t="s">
        <v>77</v>
      </c>
      <c r="B23" s="18" t="s">
        <v>85</v>
      </c>
      <c r="D23" s="7" t="s">
        <v>91</v>
      </c>
      <c r="E23" s="7" t="s">
        <v>92</v>
      </c>
      <c r="G23" s="21" t="s">
        <v>104</v>
      </c>
      <c r="H23" s="21" t="s">
        <v>103</v>
      </c>
      <c r="J23" s="21" t="s">
        <v>105</v>
      </c>
      <c r="K23" s="21">
        <v>92</v>
      </c>
    </row>
    <row r="24" spans="1:11" x14ac:dyDescent="0.3">
      <c r="B24" s="18" t="s">
        <v>86</v>
      </c>
      <c r="E24" s="7" t="s">
        <v>93</v>
      </c>
      <c r="H24" s="21" t="s">
        <v>102</v>
      </c>
      <c r="K24" s="21">
        <v>131</v>
      </c>
    </row>
    <row r="25" spans="1:11" x14ac:dyDescent="0.3">
      <c r="B25" s="18" t="s">
        <v>87</v>
      </c>
      <c r="E25" s="7" t="s">
        <v>94</v>
      </c>
      <c r="H25" s="57" t="s">
        <v>101</v>
      </c>
      <c r="K25" s="21">
        <v>141</v>
      </c>
    </row>
    <row r="26" spans="1:11" x14ac:dyDescent="0.3">
      <c r="E26" s="7" t="s">
        <v>95</v>
      </c>
      <c r="H26" s="21" t="s">
        <v>100</v>
      </c>
      <c r="K26" s="21">
        <v>142</v>
      </c>
    </row>
    <row r="27" spans="1:11" x14ac:dyDescent="0.3">
      <c r="E27" s="7" t="s">
        <v>96</v>
      </c>
      <c r="H27" s="21" t="s">
        <v>98</v>
      </c>
    </row>
    <row r="28" spans="1:11" x14ac:dyDescent="0.3">
      <c r="H28" s="21" t="s">
        <v>99</v>
      </c>
    </row>
  </sheetData>
  <mergeCells count="1">
    <mergeCell ref="F2:H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소통메신저 양식 자동완성</vt:lpstr>
      <vt:lpstr>02_코드목록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rahee</cp:lastModifiedBy>
  <dcterms:created xsi:type="dcterms:W3CDTF">2026-02-27T14:01:13Z</dcterms:created>
  <dcterms:modified xsi:type="dcterms:W3CDTF">2026-03-15T08:04:26Z</dcterms:modified>
</cp:coreProperties>
</file>