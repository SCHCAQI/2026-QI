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lds85\Desktop\임덕수\git\2026-QI\documents\"/>
    </mc:Choice>
  </mc:AlternateContent>
  <xr:revisionPtr revIDLastSave="0" documentId="13_ncr:1_{7A4224BF-7893-43DC-BA6B-871EA31E5C8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state="hidden" r:id="rId2"/>
  </sheets>
  <calcPr calcId="191029"/>
</workbook>
</file>

<file path=xl/calcChain.xml><?xml version="1.0" encoding="utf-8"?>
<calcChain xmlns="http://schemas.openxmlformats.org/spreadsheetml/2006/main">
  <c r="H3" i="2" l="1"/>
  <c r="G3" i="2"/>
  <c r="I3" i="2" l="1"/>
  <c r="K7" i="2" s="1"/>
  <c r="K8" i="2" l="1"/>
  <c r="K5" i="2"/>
  <c r="K9" i="2"/>
  <c r="K6" i="2"/>
</calcChain>
</file>

<file path=xl/sharedStrings.xml><?xml version="1.0" encoding="utf-8"?>
<sst xmlns="http://schemas.openxmlformats.org/spreadsheetml/2006/main" count="74" uniqueCount="73">
  <si>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</si>
  <si>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</si>
  <si>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</si>
  <si>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</si>
  <si>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</si>
  <si>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</si>
  <si>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</si>
  <si>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</si>
  <si>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</si>
  <si>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</si>
  <si>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</si>
  <si>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</si>
  <si>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</si>
  <si>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</si>
  <si>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</si>
  <si>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</si>
  <si>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</si>
  <si>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</si>
  <si>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</si>
  <si>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</si>
  <si>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</si>
  <si>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</si>
  <si>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</si>
  <si>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</si>
  <si>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</si>
  <si>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</si>
  <si>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</si>
  <si>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</si>
  <si>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</si>
  <si>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</si>
  <si>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</si>
  <si>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</si>
  <si>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</si>
  <si>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</si>
  <si>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</si>
  <si>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</si>
  <si>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</si>
  <si>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</si>
  <si>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</si>
  <si>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</si>
  <si>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</si>
  <si>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</si>
  <si>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</si>
  <si>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</si>
  <si>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</si>
  <si>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</si>
  <si>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</si>
  <si>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</si>
  <si>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</si>
  <si>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</si>
  <si>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</si>
  <si>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</si>
  <si>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</si>
  <si>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</si>
  <si>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</si>
  <si>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</si>
  <si>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</si>
  <si>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</si>
  <si>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</si>
  <si>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</si>
  <si>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</si>
  <si>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</si>
  <si>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</si>
  <si>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</si>
  <si>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</si>
  <si>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</si>
  <si>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</si>
  <si>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</si>
  <si>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</si>
  <si>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</si>
  <si>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확인</t>
    <phoneticPr fontId="5" type="noConversion"/>
  </si>
  <si>
    <t>처방확인</t>
    <phoneticPr fontId="5" type="noConversion"/>
  </si>
  <si>
    <t>박OO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</si>
</sst>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6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22" fontId="0" fillId="5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K11"/>
  <sheetViews>
    <sheetView showGridLines="0" tabSelected="1" topLeftCell="B1" workbookViewId="0">
      <selection activeCell="I7" sqref="I7"/>
    </sheetView>
  </sheetViews>
  <sheetFormatPr defaultRowHeight="26.25" customHeight="1" x14ac:dyDescent="0.3"/>
  <cols>
    <col min="1" max="1" width="19.375" style="3" customWidth="1"/>
    <col min="2" max="2" width="21.875" style="3" customWidth="1"/>
    <col min="3" max="3" width="16.625" style="3" bestFit="1" customWidth="1"/>
    <col min="4" max="4" width="9.5" style="3" bestFit="1" customWidth="1"/>
    <col min="5" max="5" width="9.25" style="3" bestFit="1" customWidth="1"/>
    <col min="6" max="6" width="11.5" style="3" bestFit="1" customWidth="1"/>
    <col min="7" max="7" width="13.25" style="3" bestFit="1" customWidth="1"/>
    <col min="8" max="8" width="13.625" style="3" bestFit="1" customWidth="1"/>
    <col min="9" max="9" width="10.5" style="3" bestFit="1" customWidth="1"/>
    <col min="10" max="10" width="22.125" style="3" customWidth="1"/>
    <col min="11" max="11" width="96.125" style="3" bestFit="1" customWidth="1"/>
    <col min="12" max="12" width="100.25" style="3" customWidth="1"/>
    <col min="13" max="16384" width="9" style="3"/>
  </cols>
  <sheetData>
    <row r="1" spans="1:11" ht="66.75" customHeight="1" x14ac:dyDescent="0.3">
      <c r="A1" s="22" t="s">
        <v>41</v>
      </c>
      <c r="B1" s="22"/>
      <c r="C1" s="23"/>
      <c r="D1" s="23"/>
      <c r="E1" s="23"/>
      <c r="F1" s="23"/>
      <c r="G1" s="23"/>
      <c r="H1" s="23"/>
      <c r="I1" s="23"/>
      <c r="J1" s="23"/>
      <c r="K1" s="23"/>
    </row>
    <row r="2" spans="1:11" ht="26.25" customHeight="1" x14ac:dyDescent="0.3">
      <c r="A2" s="19"/>
      <c r="B2" s="19"/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28</v>
      </c>
      <c r="I2" s="20" t="s">
        <v>27</v>
      </c>
      <c r="J2" s="20"/>
      <c r="K2" s="20"/>
    </row>
    <row r="3" spans="1:11" ht="26.25" customHeight="1" x14ac:dyDescent="0.3">
      <c r="A3" s="20"/>
      <c r="B3" s="20"/>
      <c r="C3" s="9">
        <v>1311</v>
      </c>
      <c r="D3" s="9">
        <v>12345678</v>
      </c>
      <c r="E3" s="9" t="s">
        <v>40</v>
      </c>
      <c r="F3" s="9" t="s">
        <v>72</v>
      </c>
      <c r="G3" s="12" t="str">
        <f ca="1">TEXT(NOW(), "mmdd")</f>
        <v>0308</v>
      </c>
      <c r="H3" s="11" t="str">
        <f ca="1">TEXT(NOW(), "hhmm")</f>
        <v>2211</v>
      </c>
      <c r="I3" s="21" t="str">
        <f ca="1">"["&amp;C3&amp;"]-["&amp;D3&amp;"]-["&amp;E3&amp;"]-["&amp;F3&amp;"]-["&amp;TEXT(G3,"0000")&amp;"]-["&amp;TEXT(H3,"0000")&amp;"]"</f>
        <v>[1311]-[12345678]-[가나다]-[박OO]-[0308]-[2211]</v>
      </c>
      <c r="J3" s="21"/>
      <c r="K3" s="21"/>
    </row>
    <row r="4" spans="1:11" ht="33" x14ac:dyDescent="0.3">
      <c r="A4" s="2" t="s">
        <v>2</v>
      </c>
      <c r="B4" s="18" t="s">
        <v>64</v>
      </c>
      <c r="C4" s="2" t="s">
        <v>3</v>
      </c>
      <c r="D4" s="2" t="s">
        <v>30</v>
      </c>
      <c r="E4" s="2" t="s">
        <v>31</v>
      </c>
      <c r="F4" s="2" t="s">
        <v>32</v>
      </c>
      <c r="G4" s="2" t="s">
        <v>4</v>
      </c>
      <c r="H4" s="2" t="s">
        <v>29</v>
      </c>
      <c r="I4" s="2" t="s">
        <v>5</v>
      </c>
      <c r="J4" s="2" t="s">
        <v>33</v>
      </c>
      <c r="K4" s="2" t="s">
        <v>26</v>
      </c>
    </row>
    <row r="5" spans="1:11" ht="26.25" customHeight="1" x14ac:dyDescent="0.3">
      <c r="A5" s="1" t="s">
        <v>0</v>
      </c>
      <c r="B5" s="5"/>
      <c r="C5" s="5">
        <v>12</v>
      </c>
      <c r="D5" s="5"/>
      <c r="E5" s="5"/>
      <c r="F5" s="5"/>
      <c r="G5" s="6"/>
      <c r="H5" s="6"/>
      <c r="I5" s="6"/>
      <c r="J5" s="6"/>
      <c r="K5" s="4" t="str">
        <f ca="1">B5&amp;IF($I$3="","", "[A]"&amp;$I$3&amp;" / 지금:"&amp;D5&amp;" / 근거:"&amp;E5&amp;" / 요청:"&amp;F5&amp;" / "&amp;C5)</f>
        <v>[A][1311]-[12345678]-[가나다]-[박OO]-[0308]-[2211] / 지금: / 근거: / 요청: / 12</v>
      </c>
    </row>
    <row r="6" spans="1:11" ht="26.25" customHeight="1" x14ac:dyDescent="0.3">
      <c r="A6" s="1" t="s">
        <v>66</v>
      </c>
      <c r="B6" s="6"/>
      <c r="C6" s="6"/>
      <c r="D6" s="10"/>
      <c r="E6" s="6"/>
      <c r="F6" s="6"/>
      <c r="G6" s="5"/>
      <c r="H6" s="5"/>
      <c r="I6" s="6"/>
      <c r="J6" s="6"/>
      <c r="K6" s="4" t="str">
        <f ca="1">IF($I$3="","", "[C]"&amp;$I$3&amp;" / "&amp;IF(G6="","{사유코드}",G6)&amp;" / 다음확인 "&amp;H6&amp;" (전화 1회 후)")</f>
        <v>[C][1311]-[12345678]-[가나다]-[박OO]-[0308]-[2211] / {사유코드} / 다음확인  (전화 1회 후)</v>
      </c>
    </row>
    <row r="7" spans="1:11" ht="26.25" customHeight="1" x14ac:dyDescent="0.3">
      <c r="A7" s="1" t="s">
        <v>67</v>
      </c>
      <c r="B7" s="6"/>
      <c r="C7" s="6"/>
      <c r="D7" s="10"/>
      <c r="E7" s="6"/>
      <c r="F7" s="6"/>
      <c r="G7" s="7"/>
      <c r="H7" s="5"/>
      <c r="I7" s="6"/>
      <c r="J7" s="6"/>
      <c r="K7" s="4" t="str">
        <f ca="1">IF($I$3="","", "[C]"&amp;$I$3&amp;" / "&amp;IF(G7="","{사유코드}",G7)&amp;" / 다음확인 "&amp;H7&amp;" (전화 1회 후)")</f>
        <v>[C][1311]-[12345678]-[가나다]-[박OO]-[0308]-[2211] / {사유코드} / 다음확인  (전화 1회 후)</v>
      </c>
    </row>
    <row r="8" spans="1:11" ht="26.25" customHeight="1" x14ac:dyDescent="0.3">
      <c r="A8" s="1" t="s">
        <v>1</v>
      </c>
      <c r="B8" s="6"/>
      <c r="C8" s="6"/>
      <c r="D8" s="5" t="s">
        <v>70</v>
      </c>
      <c r="E8" s="6"/>
      <c r="F8" s="6"/>
      <c r="G8" s="6"/>
      <c r="H8" s="6"/>
      <c r="I8" s="5" t="s">
        <v>71</v>
      </c>
      <c r="J8" s="5"/>
      <c r="K8" s="4" t="str">
        <f ca="1">IF($I$3="","", "[D]"&amp;$I$3&amp;" / 결과:"&amp;D8&amp;" / 현재:"&amp;I8&amp;" / F/U:"&amp;J8)</f>
        <v>[D][1311]-[12345678]-[가나다]-[박OO]-[0308]-[2211] / 결과:확인 / 현재:처방확인 / F/U:</v>
      </c>
    </row>
    <row r="9" spans="1:11" ht="26.25" customHeight="1" x14ac:dyDescent="0.3">
      <c r="A9" s="1" t="s">
        <v>34</v>
      </c>
      <c r="B9" s="6"/>
      <c r="C9" s="6"/>
      <c r="D9" s="7"/>
      <c r="E9" s="6"/>
      <c r="F9" s="6"/>
      <c r="G9" s="6"/>
      <c r="H9" s="6"/>
      <c r="I9" s="6"/>
      <c r="J9" s="6"/>
      <c r="K9" s="4" t="str">
        <f ca="1">IF($I$3="","", "(보고)"&amp;$I$3&amp;"/"&amp;D9&amp;IF(D9="","","/")&amp;"12")</f>
        <v>(보고)[1311]-[12345678]-[가나다]-[박OO]-[0308]-[2211]/12</v>
      </c>
    </row>
    <row r="10" spans="1:11" ht="26.25" customHeight="1" x14ac:dyDescent="0.3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 ht="26.25" customHeight="1" x14ac:dyDescent="0.3">
      <c r="A11" s="24" t="s">
        <v>39</v>
      </c>
      <c r="B11" s="25"/>
      <c r="C11" s="25"/>
      <c r="D11" s="25"/>
      <c r="E11" s="25"/>
      <c r="F11" s="25"/>
      <c r="G11" s="25"/>
      <c r="H11" s="25"/>
      <c r="I11" s="25"/>
      <c r="J11" s="25"/>
      <c r="K11" s="26"/>
    </row>
  </sheetData>
  <mergeCells count="6">
    <mergeCell ref="A2:A3"/>
    <mergeCell ref="I3:K3"/>
    <mergeCell ref="I2:K2"/>
    <mergeCell ref="A1:K1"/>
    <mergeCell ref="A11:K11"/>
    <mergeCell ref="B2:B3"/>
  </mergeCells>
  <phoneticPr fontId="5" type="noConversion"/>
  <conditionalFormatting sqref="B5:C5">
    <cfRule type="expression" dxfId="2" priority="1">
      <formula>B5=12</formula>
    </cfRule>
    <cfRule type="expression" dxfId="1" priority="2">
      <formula>B5=4</formula>
    </cfRule>
    <cfRule type="expression" dxfId="0" priority="3">
      <formula>B5=10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C5 C9</xm:sqref>
        </x14:dataValidation>
        <x14:dataValidation type="list" allowBlank="1" xr:uid="{00000000-0002-0000-0100-000001000000}">
          <x14:formula1>
            <xm:f>'02_코드목록'!$B$2:$B$14</xm:f>
          </x14:formula1>
          <xm:sqref>G5 G8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D9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B5</xm:sqref>
        </x14:dataValidation>
        <x14:dataValidation type="list" allowBlank="1" xr:uid="{0D061B27-2ED0-4A89-8EF3-BCF08CD5E27F}">
          <x14:formula1>
            <xm:f>'02_코드목록'!$B$2:$B$15</xm:f>
          </x14:formula1>
          <xm:sqref>G6</xm:sqref>
        </x14:dataValidation>
        <x14:dataValidation type="list" allowBlank="1" xr:uid="{06472377-7060-4FB5-A3C2-0B85F9411171}">
          <x14:formula1>
            <xm:f>'02_코드목록'!$D$2</xm:f>
          </x14:formula1>
          <xm:sqref>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15"/>
  <sheetViews>
    <sheetView showGridLines="0" workbookViewId="0">
      <selection activeCell="D18" sqref="D18"/>
    </sheetView>
  </sheetViews>
  <sheetFormatPr defaultRowHeight="16.5" x14ac:dyDescent="0.3"/>
  <cols>
    <col min="1" max="1" width="12" style="14" customWidth="1"/>
    <col min="2" max="2" width="18" style="14" customWidth="1"/>
    <col min="3" max="3" width="2" style="14" customWidth="1"/>
    <col min="4" max="4" width="19" style="14" customWidth="1"/>
    <col min="5" max="5" width="2" style="14" customWidth="1"/>
    <col min="6" max="9" width="9" style="14"/>
    <col min="10" max="10" width="17.25" style="14" bestFit="1" customWidth="1"/>
    <col min="11" max="11" width="17.25" style="14" customWidth="1"/>
    <col min="12" max="12" width="11.375" style="14" bestFit="1" customWidth="1"/>
    <col min="13" max="13" width="38" style="14" bestFit="1" customWidth="1"/>
    <col min="14" max="16384" width="9" style="14"/>
  </cols>
  <sheetData>
    <row r="1" spans="1:13" x14ac:dyDescent="0.3">
      <c r="A1" s="13" t="s">
        <v>6</v>
      </c>
      <c r="B1" s="13" t="s">
        <v>68</v>
      </c>
      <c r="D1" s="13" t="s">
        <v>69</v>
      </c>
      <c r="F1" s="13" t="s">
        <v>7</v>
      </c>
      <c r="G1" s="15"/>
      <c r="H1" s="15"/>
      <c r="J1" s="15" t="s">
        <v>38</v>
      </c>
      <c r="L1" s="15" t="s">
        <v>42</v>
      </c>
      <c r="M1" s="15"/>
    </row>
    <row r="2" spans="1:13" x14ac:dyDescent="0.3">
      <c r="A2" s="15">
        <v>10</v>
      </c>
      <c r="B2" s="15" t="s">
        <v>8</v>
      </c>
      <c r="D2" s="15" t="s">
        <v>65</v>
      </c>
      <c r="F2" s="27" t="s">
        <v>56</v>
      </c>
      <c r="G2" s="28"/>
      <c r="H2" s="28"/>
      <c r="J2" s="16" t="s">
        <v>35</v>
      </c>
      <c r="K2" s="17"/>
      <c r="L2" s="15" t="s">
        <v>43</v>
      </c>
      <c r="M2" s="15" t="s">
        <v>44</v>
      </c>
    </row>
    <row r="3" spans="1:13" x14ac:dyDescent="0.3">
      <c r="A3" s="15">
        <v>4</v>
      </c>
      <c r="B3" s="15" t="s">
        <v>9</v>
      </c>
      <c r="F3" s="28"/>
      <c r="G3" s="28"/>
      <c r="H3" s="28"/>
      <c r="J3" s="16" t="s">
        <v>36</v>
      </c>
      <c r="K3" s="17"/>
      <c r="L3" s="15" t="s">
        <v>45</v>
      </c>
      <c r="M3" s="15" t="s">
        <v>46</v>
      </c>
    </row>
    <row r="4" spans="1:13" x14ac:dyDescent="0.3">
      <c r="A4" s="15">
        <v>12</v>
      </c>
      <c r="B4" s="15" t="s">
        <v>10</v>
      </c>
      <c r="F4" s="28"/>
      <c r="G4" s="28"/>
      <c r="H4" s="28"/>
      <c r="J4" s="16" t="s">
        <v>37</v>
      </c>
      <c r="K4" s="17"/>
      <c r="L4" s="15" t="s">
        <v>47</v>
      </c>
      <c r="M4" s="15" t="s">
        <v>57</v>
      </c>
    </row>
    <row r="5" spans="1:13" x14ac:dyDescent="0.3">
      <c r="B5" s="15" t="s">
        <v>11</v>
      </c>
      <c r="L5" s="15" t="s">
        <v>48</v>
      </c>
      <c r="M5" s="15" t="s">
        <v>49</v>
      </c>
    </row>
    <row r="6" spans="1:13" x14ac:dyDescent="0.3">
      <c r="B6" s="15" t="s">
        <v>12</v>
      </c>
      <c r="L6" s="15" t="s">
        <v>50</v>
      </c>
      <c r="M6" s="15" t="s">
        <v>51</v>
      </c>
    </row>
    <row r="7" spans="1:13" x14ac:dyDescent="0.3">
      <c r="B7" s="15" t="s">
        <v>13</v>
      </c>
      <c r="L7" s="15" t="s">
        <v>52</v>
      </c>
      <c r="M7" s="15" t="s">
        <v>53</v>
      </c>
    </row>
    <row r="8" spans="1:13" x14ac:dyDescent="0.3">
      <c r="B8" s="15" t="s">
        <v>14</v>
      </c>
      <c r="L8" s="15" t="s">
        <v>54</v>
      </c>
      <c r="M8" s="15" t="s">
        <v>55</v>
      </c>
    </row>
    <row r="9" spans="1:13" x14ac:dyDescent="0.3">
      <c r="B9" s="15" t="s">
        <v>15</v>
      </c>
      <c r="L9" s="15" t="s">
        <v>58</v>
      </c>
      <c r="M9" s="15" t="s">
        <v>59</v>
      </c>
    </row>
    <row r="10" spans="1:13" x14ac:dyDescent="0.3">
      <c r="B10" s="15" t="s">
        <v>16</v>
      </c>
      <c r="L10" s="15" t="s">
        <v>60</v>
      </c>
      <c r="M10" s="15" t="s">
        <v>61</v>
      </c>
    </row>
    <row r="11" spans="1:13" x14ac:dyDescent="0.3">
      <c r="B11" s="15" t="s">
        <v>17</v>
      </c>
      <c r="L11" s="15" t="s">
        <v>62</v>
      </c>
      <c r="M11" s="15" t="s">
        <v>63</v>
      </c>
    </row>
    <row r="12" spans="1:13" x14ac:dyDescent="0.3">
      <c r="B12" s="15" t="s">
        <v>18</v>
      </c>
    </row>
    <row r="13" spans="1:13" x14ac:dyDescent="0.3">
      <c r="B13" s="15" t="s">
        <v>19</v>
      </c>
    </row>
    <row r="14" spans="1:13" x14ac:dyDescent="0.3">
      <c r="B14" s="15" t="s">
        <v>20</v>
      </c>
    </row>
    <row r="15" spans="1:13" x14ac:dyDescent="0.3">
      <c r="B15" s="15" t="s">
        <v>65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성민 임</cp:lastModifiedBy>
  <dcterms:created xsi:type="dcterms:W3CDTF">2026-02-27T14:01:13Z</dcterms:created>
  <dcterms:modified xsi:type="dcterms:W3CDTF">2026-03-08T13:11:34Z</dcterms:modified>
</cp:coreProperties>
</file>